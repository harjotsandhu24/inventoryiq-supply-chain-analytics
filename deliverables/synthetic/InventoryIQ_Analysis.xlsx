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ssumptions" sheetId="2" state="visible" r:id="rId2"/>
    <sheet name="Inventory Summary" sheetId="3" state="visible" r:id="rId3"/>
    <sheet name="ABC_XYZ" sheetId="4" state="visible" r:id="rId4"/>
    <sheet name="Forecasts" sheetId="5" state="visible" r:id="rId5"/>
    <sheet name="Safety Stock" sheetId="6" state="visible" r:id="rId6"/>
    <sheet name="Reorder Points" sheetId="7" state="visible" r:id="rId7"/>
    <sheet name="Purchase Recs" sheetId="8" state="visible" r:id="rId8"/>
    <sheet name="Suppliers" sheetId="9" state="visible" r:id="rId9"/>
    <sheet name="Scenarios" sheetId="10" state="visible" r:id="rId10"/>
    <sheet name="Data Definitions" sheetId="11" state="visible" r:id="rId11"/>
  </sheets>
  <definedNames>
    <definedName name="_xlnm._FilterDatabase" localSheetId="2" hidden="1">'Inventory Summary'!$A$4:$L$84</definedName>
    <definedName name="_xlnm._FilterDatabase" localSheetId="3" hidden="1">'ABC_XYZ'!$A$4:$L$84</definedName>
    <definedName name="_xlnm._FilterDatabase" localSheetId="4" hidden="1">'Forecasts'!$A$4:$M$84</definedName>
    <definedName name="_xlnm._FilterDatabase" localSheetId="5" hidden="1">'Safety Stock'!$A$4:$W$84</definedName>
    <definedName name="_xlnm._FilterDatabase" localSheetId="6" hidden="1">'Reorder Points'!$A$4:$V$84</definedName>
    <definedName name="_xlnm._FilterDatabase" localSheetId="7" hidden="1">'Purchase Recs'!$A$4:$M$84</definedName>
    <definedName name="_xlnm._FilterDatabase" localSheetId="8" hidden="1">'Suppliers'!$A$4:$M$10</definedName>
    <definedName name="_xlnm._FilterDatabase" localSheetId="10" hidden="1">'Data Definitions'!$A$4:$C$23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0.0%"/>
    <numFmt numFmtId="165" formatCode="0.0000"/>
    <numFmt numFmtId="166" formatCode="#,##0.0"/>
    <numFmt numFmtId="167" formatCode="$#,##0.00"/>
    <numFmt numFmtId="168" formatCode="0.000"/>
    <numFmt numFmtId="169" formatCode="$#,##0"/>
    <numFmt numFmtId="170" formatCode="+0%;-0%;0%"/>
    <numFmt numFmtId="171" formatCode="0.0x"/>
  </numFmts>
  <fonts count="6">
    <font>
      <name val="Calibri"/>
      <family val="2"/>
      <color theme="1"/>
      <sz val="11"/>
      <scheme val="minor"/>
    </font>
    <font>
      <b val="1"/>
      <color rgb="00172D47"/>
      <sz val="14"/>
    </font>
    <font>
      <i val="1"/>
      <color rgb="003E4B5B"/>
      <sz val="9"/>
    </font>
    <font>
      <b val="1"/>
      <color rgb="00172D47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72D47"/>
      </patternFill>
    </fill>
    <fill>
      <patternFill patternType="solid">
        <fgColor rgb="00FFF7E0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164" fontId="0" fillId="3" borderId="0" pivotButton="0" quotePrefix="0" xfId="0"/>
    <xf numFmtId="4" fontId="0" fillId="3" borderId="0" pivotButton="0" quotePrefix="0" xfId="0"/>
    <xf numFmtId="165" fontId="0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7" fontId="0" fillId="0" borderId="1" pivotButton="0" quotePrefix="0" xfId="0"/>
    <xf numFmtId="166" fontId="0" fillId="0" borderId="1" pivotButton="0" quotePrefix="0" xfId="0"/>
    <xf numFmtId="164" fontId="0" fillId="0" borderId="1" pivotButton="0" quotePrefix="0" xfId="0"/>
    <xf numFmtId="0" fontId="5" fillId="0" borderId="0" pivotButton="0" quotePrefix="0" xfId="0"/>
    <xf numFmtId="169" fontId="0" fillId="0" borderId="0" pivotButton="0" quotePrefix="0" xfId="0"/>
    <xf numFmtId="10" fontId="0" fillId="0" borderId="1" pivotButton="0" quotePrefix="0" xfId="0"/>
    <xf numFmtId="4" fontId="0" fillId="0" borderId="1" pivotButton="0" quotePrefix="0" xfId="0"/>
    <xf numFmtId="168" fontId="0" fillId="0" borderId="1" pivotButton="0" quotePrefix="0" xfId="0"/>
    <xf numFmtId="0" fontId="4" fillId="2" borderId="0" pivotButton="0" quotePrefix="0" xfId="0"/>
    <xf numFmtId="3" fontId="0" fillId="0" borderId="0" pivotButton="0" quotePrefix="0" xfId="0"/>
    <xf numFmtId="168" fontId="0" fillId="0" borderId="0" pivotButton="0" quotePrefix="0" xfId="0"/>
    <xf numFmtId="164" fontId="0" fillId="0" borderId="0" pivotButton="0" quotePrefix="0" xfId="0"/>
    <xf numFmtId="167" fontId="5" fillId="0" borderId="0" pivotButton="0" quotePrefix="0" xfId="0"/>
    <xf numFmtId="166" fontId="0" fillId="0" borderId="0" pivotButton="0" quotePrefix="0" xfId="0"/>
    <xf numFmtId="0" fontId="4" fillId="2" borderId="0" applyAlignment="1" pivotButton="0" quotePrefix="0" xfId="0">
      <alignment wrapText="1"/>
    </xf>
    <xf numFmtId="10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Modeled cost components - main window, demo scope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'Scenarios'!L16</f>
            </strRef>
          </tx>
          <spPr>
            <a:ln>
              <a:prstDash val="solid"/>
            </a:ln>
          </spPr>
          <cat>
            <numRef>
              <f>'Scenarios'!$C$17:$C$19</f>
            </numRef>
          </cat>
          <val>
            <numRef>
              <f>'Scenarios'!$L$17:$L$19</f>
            </numRef>
          </val>
        </ser>
        <ser>
          <idx val="1"/>
          <order val="1"/>
          <tx>
            <strRef>
              <f>'Scenarios'!M16</f>
            </strRef>
          </tx>
          <spPr>
            <a:ln>
              <a:prstDash val="solid"/>
            </a:ln>
          </spPr>
          <cat>
            <numRef>
              <f>'Scenarios'!$C$17:$C$19</f>
            </numRef>
          </cat>
          <val>
            <numRef>
              <f>'Scenarios'!$M$17:$M$19</f>
            </numRef>
          </val>
        </ser>
        <ser>
          <idx val="2"/>
          <order val="2"/>
          <tx>
            <strRef>
              <f>'Scenarios'!N16</f>
            </strRef>
          </tx>
          <spPr>
            <a:ln>
              <a:prstDash val="solid"/>
            </a:ln>
          </spPr>
          <cat>
            <numRef>
              <f>'Scenarios'!$C$17:$C$19</f>
            </numRef>
          </cat>
          <val>
            <numRef>
              <f>'Scenarios'!$N$17:$N$19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30</row>
      <rowOff>0</rowOff>
    </from>
    <ext cx="57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72D47"/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InventoryIQ - Inventory Forecasting &amp; Replenishment Workbook</t>
        </is>
      </c>
    </row>
    <row r="2">
      <c r="A2" s="2" t="inlineStr">
        <is>
          <t>Data source: SYNTHETIC demo data - not Walmart data. Planning date: 2026-04-27.</t>
        </is>
      </c>
    </row>
    <row r="4" ht="30" customHeight="1">
      <c r="A4" s="3" t="inlineStr">
        <is>
          <t>Purpose</t>
        </is>
      </c>
      <c r="B4" s="4" t="inlineStr">
        <is>
          <t>Working analyst view of the InventoryIQ planning engine: demand forecasts, safety stock, reorder points, and purchase recommendations.</t>
        </is>
      </c>
    </row>
    <row r="5" ht="30" customHeight="1">
      <c r="A5" s="3" t="inlineStr">
        <is>
          <t>How to use</t>
        </is>
      </c>
      <c r="B5" s="4" t="inlineStr">
        <is>
          <t>Change the yellow cells on the Assumptions sheet. Safety Stock, Reorder Points, Inventory Summary and Purchase Recs recalculate with live formulas.</t>
        </is>
      </c>
    </row>
    <row r="6" ht="30" customHeight="1">
      <c r="A6" s="3" t="inlineStr">
        <is>
          <t>Not recalculated in Excel</t>
        </is>
      </c>
      <c r="B6" s="4" t="inlineStr">
        <is>
          <t>Forecasts, budget/capacity allocation and the historical simulation are produced by the Python engine and pasted as values (labelled 'Python').</t>
        </is>
      </c>
    </row>
    <row r="7" ht="30" customHeight="1">
      <c r="A7" s="3" t="inlineStr">
        <is>
          <t>Lineage: OBSERVED</t>
        </is>
      </c>
      <c r="B7" s="4" t="inlineStr">
        <is>
          <t>Recorded M5 sales, prices and calendar.</t>
        </is>
      </c>
    </row>
    <row r="8" ht="30" customHeight="1">
      <c r="A8" s="3" t="inlineStr">
        <is>
          <t>Lineage: DERIVED</t>
        </is>
      </c>
      <c r="B8" s="4" t="inlineStr">
        <is>
          <t>Statistics calculated directly from observed data (ABC/XYZ, demand pattern, list price).</t>
        </is>
      </c>
    </row>
    <row r="9" ht="30" customHeight="1">
      <c r="A9" s="3" t="inlineStr">
        <is>
          <t>Lineage: MODELED</t>
        </is>
      </c>
      <c r="B9" s="4" t="inlineStr">
        <is>
          <t>Forecasts, forecast error, safety stock, reorder points, recommendations.</t>
        </is>
      </c>
    </row>
    <row r="10" ht="30" customHeight="1">
      <c r="A10" s="3" t="inlineStr">
        <is>
          <t>Lineage: SIMULATED</t>
        </is>
      </c>
      <c r="B10" s="4" t="inlineStr">
        <is>
          <t>Suppliers, lead times, MOQs, case packs, unit costs, stock on hand, purchase orders and all financial results. These are assumptions, not Walmart operations.</t>
        </is>
      </c>
    </row>
    <row r="11" ht="30" customHeight="1">
      <c r="A11" s="3" t="inlineStr">
        <is>
          <t>Refresh</t>
        </is>
      </c>
      <c r="B11" s="4" t="inlineStr">
        <is>
          <t>python -m inventoryiq.pipeline --source m5   (full run)   or   python -m inventoryiq.excel_workbook --source m5   (workbook only).</t>
        </is>
      </c>
    </row>
    <row r="12" ht="30" customHeight="1">
      <c r="A12" s="3" t="inlineStr">
        <is>
          <t>Validation</t>
        </is>
      </c>
      <c r="B12" s="4" t="inlineStr">
        <is>
          <t>python -m inventoryiq.excel_workbook --source m5 --validate recalculates every formula and compares it with the Python reference engine.</t>
        </is>
      </c>
    </row>
    <row r="13" ht="30" customHeight="1">
      <c r="A13" s="3" t="inlineStr">
        <is>
          <t>Sheets</t>
        </is>
      </c>
      <c r="B13" s="4" t="inlineStr">
        <is>
          <t>Assumptions | Inventory Summary | ABC_XYZ | Forecasts | Safety Stock | Reorder Points | Purchase Recs | Suppliers | Scenarios | Data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2D47"/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2" customWidth="1" min="4" max="4"/>
    <col width="80" customWidth="1" min="5" max="5"/>
  </cols>
  <sheetData>
    <row r="1">
      <c r="A1" s="1" t="inlineStr">
        <is>
          <t>Planning assumptions</t>
        </is>
      </c>
    </row>
    <row r="2">
      <c r="A2" s="2" t="inlineStr">
        <is>
          <t>Yellow cells are inputs. Defaults match the application's Balanced scenario.</t>
        </is>
      </c>
    </row>
    <row r="4" ht="32" customHeight="1">
      <c r="A4" s="5" t="inlineStr">
        <is>
          <t>Parameter</t>
        </is>
      </c>
      <c r="B4" s="5" t="inlineStr">
        <is>
          <t>Unit</t>
        </is>
      </c>
      <c r="C4" s="5" t="inlineStr">
        <is>
          <t>Value</t>
        </is>
      </c>
      <c r="D4" s="5" t="inlineStr">
        <is>
          <t>Lineage</t>
        </is>
      </c>
      <c r="E4" s="5" t="inlineStr">
        <is>
          <t>Notes</t>
        </is>
      </c>
    </row>
    <row r="5">
      <c r="A5" t="inlineStr">
        <is>
          <t>Target cycle service level</t>
        </is>
      </c>
      <c r="B5" t="inlineStr">
        <is>
          <t>probability</t>
        </is>
      </c>
      <c r="C5" s="6" t="n">
        <v>0.95</v>
      </c>
      <c r="D5" t="inlineStr">
        <is>
          <t>Assumed</t>
        </is>
      </c>
      <c r="E5" t="inlineStr">
        <is>
          <t>Probability of no stockout per replenishment cycle (not the fill rate).</t>
        </is>
      </c>
    </row>
    <row r="6">
      <c r="A6" t="inlineStr">
        <is>
          <t>Review interval R</t>
        </is>
      </c>
      <c r="B6" t="inlineStr">
        <is>
          <t>days</t>
        </is>
      </c>
      <c r="C6" s="7" t="n">
        <v>7</v>
      </c>
      <c r="D6" t="inlineStr">
        <is>
          <t>Assumed</t>
        </is>
      </c>
      <c r="E6" t="inlineStr">
        <is>
          <t>Days between purchasing reviews.</t>
        </is>
      </c>
    </row>
    <row r="7">
      <c r="A7" t="inlineStr">
        <is>
          <t>Lead-time shift</t>
        </is>
      </c>
      <c r="B7" t="inlineStr">
        <is>
          <t>days</t>
        </is>
      </c>
      <c r="C7" s="7" t="n">
        <v>0</v>
      </c>
      <c r="D7" t="inlineStr">
        <is>
          <t>Assumed</t>
        </is>
      </c>
      <c r="E7" t="inlineStr">
        <is>
          <t>Added to every supplier's mean lead time (min 1 day).</t>
        </is>
      </c>
    </row>
    <row r="8">
      <c r="A8" t="inlineStr">
        <is>
          <t>Lead-time variability multiplier</t>
        </is>
      </c>
      <c r="B8" t="inlineStr">
        <is>
          <t>x</t>
        </is>
      </c>
      <c r="C8" s="7" t="n">
        <v>1</v>
      </c>
      <c r="D8" t="inlineStr">
        <is>
          <t>Assumed</t>
        </is>
      </c>
      <c r="E8" t="inlineStr">
        <is>
          <t>Multiplies each supplier's lead-time standard deviation.</t>
        </is>
      </c>
    </row>
    <row r="9">
      <c r="A9" t="inlineStr">
        <is>
          <t>Annual holding cost rate</t>
        </is>
      </c>
      <c r="B9" t="inlineStr">
        <is>
          <t>% of cost</t>
        </is>
      </c>
      <c r="C9" s="6" t="n">
        <v>0.25</v>
      </c>
      <c r="D9" t="inlineStr">
        <is>
          <t>Simulated</t>
        </is>
      </c>
      <c r="E9" t="inlineStr">
        <is>
          <t>Capital, storage and obsolescence per unit-year.</t>
        </is>
      </c>
    </row>
    <row r="10">
      <c r="A10" t="inlineStr">
        <is>
          <t>Shortage penalty multiplier</t>
        </is>
      </c>
      <c r="B10" t="inlineStr">
        <is>
          <t>x margin</t>
        </is>
      </c>
      <c r="C10" s="7" t="n">
        <v>1.5</v>
      </c>
      <c r="D10" t="inlineStr">
        <is>
          <t>Simulated</t>
        </is>
      </c>
      <c r="E10" t="inlineStr">
        <is>
          <t>Penalty per lost unit = multiplier x unit gross margin.</t>
        </is>
      </c>
    </row>
    <row r="11">
      <c r="A11" t="inlineStr">
        <is>
          <t>Maximum days of supply per order</t>
        </is>
      </c>
      <c r="B11" t="inlineStr">
        <is>
          <t>days</t>
        </is>
      </c>
      <c r="C11" s="7" t="n">
        <v>28</v>
      </c>
      <c r="D11" t="inlineStr">
        <is>
          <t>Assumed</t>
        </is>
      </c>
      <c r="E11" t="inlineStr">
        <is>
          <t>Policy v2 lot-size cap: cycle stock &lt;= mu x this many days.</t>
        </is>
      </c>
    </row>
    <row r="12">
      <c r="A12" t="inlineStr">
        <is>
          <t>z = NORMSINV(service level)</t>
        </is>
      </c>
      <c r="B12" t="inlineStr">
        <is>
          <t>std. normal</t>
        </is>
      </c>
      <c r="C12" s="8">
        <f>NORMSINV(Assumptions!$C$5)</f>
        <v/>
      </c>
      <c r="E12" t="inlineStr">
        <is>
          <t>Normal quantile used in the safety-stock formula.</t>
        </is>
      </c>
    </row>
    <row r="14">
      <c r="A14" t="inlineStr">
        <is>
          <t>Settings equal defaults?</t>
        </is>
      </c>
      <c r="C14">
        <f>IF(AND(Assumptions!$C$5=0.95,Assumptions!$C$6=7,Assumptions!$C$7=0.0,Assumptions!$C$8=1.0,Assumptions!$C$11=28.0),"YES","NO")</f>
        <v/>
      </c>
      <c r="E14" t="inlineStr">
        <is>
          <t>Empirical fallback reorder points and Python check columns are valid only when this reads YES.</t>
        </is>
      </c>
    </row>
    <row r="16">
      <c r="A16" s="3" t="inlineStr">
        <is>
          <t>Safety stock formula</t>
        </is>
      </c>
      <c r="E16" t="inlineStr">
        <is>
          <t>SS = z x SQRT(P x sigma_d^2 + mu_d^2 x Var[L]),  P = E[L] + R  (periodic-review protection period)</t>
        </is>
      </c>
    </row>
    <row r="17">
      <c r="A17" s="3" t="inlineStr">
        <is>
          <t>Reorder point</t>
        </is>
      </c>
      <c r="E17" t="inlineStr">
        <is>
          <t>s = mu_d x P + SS; for intermittent/lumpy items s = max(s, empirical CSL-quantile of P-day demand)</t>
        </is>
      </c>
    </row>
    <row r="18">
      <c r="A18" s="3" t="inlineStr">
        <is>
          <t>Order-up-to level</t>
        </is>
      </c>
      <c r="E18" t="inlineStr">
        <is>
          <t>S = s + min(max(EOQ, mu_d x R), mu_d x max days);  EOQ = SQRT(2 x 365 x mu_d x order cost / (holding rate x unit cost))</t>
        </is>
      </c>
    </row>
    <row r="19">
      <c r="A19" s="3" t="inlineStr">
        <is>
          <t>Order quantity</t>
        </is>
      </c>
      <c r="E19" t="inlineStr">
        <is>
          <t>If IP &lt;= s: Q = max(CEILING((S - IP) / case) x case, MOQ);  IP = on hand + on order (lost-sales model, no backorders)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17E83"/>
    <outlinePr summaryBelow="1" summaryRight="1"/>
    <pageSetUpPr/>
  </sheetPr>
  <dimension ref="A1:P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7" customWidth="1" min="3" max="3"/>
    <col width="11" customWidth="1" min="4" max="4"/>
    <col width="9" customWidth="1" min="5" max="5"/>
    <col width="9" customWidth="1" min="6" max="6"/>
    <col width="9" customWidth="1" min="7" max="7"/>
    <col width="9" customWidth="1" min="8" max="8"/>
    <col width="13" customWidth="1" min="9" max="9"/>
    <col width="11" customWidth="1" min="10" max="10"/>
    <col width="8" customWidth="1" min="11" max="11"/>
    <col width="13" customWidth="1" min="12" max="12"/>
    <col width="16" customWidth="1" min="14" max="14"/>
  </cols>
  <sheetData>
    <row r="1">
      <c r="A1" s="1" t="inlineStr">
        <is>
          <t>Inventory summary (SIMULATED stock, MODELED risk)</t>
        </is>
      </c>
    </row>
    <row r="2">
      <c r="A2" s="2" t="inlineStr">
        <is>
          <t>Simulated on-hand stock at the planning date valued at simulated unit cost.</t>
        </is>
      </c>
    </row>
    <row r="4" ht="32" customHeight="1">
      <c r="A4" s="5" t="inlineStr">
        <is>
          <t>Series</t>
        </is>
      </c>
      <c r="B4" s="5" t="inlineStr">
        <is>
          <t>Item</t>
        </is>
      </c>
      <c r="C4" s="5" t="inlineStr">
        <is>
          <t>Store</t>
        </is>
      </c>
      <c r="D4" s="5" t="inlineStr">
        <is>
          <t>Category</t>
        </is>
      </c>
      <c r="E4" s="5" t="inlineStr">
        <is>
          <t>Supplier</t>
        </is>
      </c>
      <c r="F4" s="5" t="inlineStr">
        <is>
          <t>On hand</t>
        </is>
      </c>
      <c r="G4" s="5" t="inlineStr">
        <is>
          <t>On order</t>
        </is>
      </c>
      <c r="H4" s="5" t="inlineStr">
        <is>
          <t>Unit cost</t>
        </is>
      </c>
      <c r="I4" s="5" t="inlineStr">
        <is>
          <t>Inventory value</t>
        </is>
      </c>
      <c r="J4" s="5" t="inlineStr">
        <is>
          <t>Coverage (days)</t>
        </is>
      </c>
      <c r="K4" s="5" t="inlineStr">
        <is>
          <t>Risk</t>
        </is>
      </c>
      <c r="L4" s="5" t="inlineStr">
        <is>
          <t>P(stockout before receipt)</t>
        </is>
      </c>
      <c r="N4" s="3" t="inlineStr">
        <is>
          <t>Summary</t>
        </is>
      </c>
    </row>
    <row r="5">
      <c r="A5" s="9" t="inlineStr">
        <is>
          <t>SYN_FOODS_1_001_CA_1</t>
        </is>
      </c>
      <c r="B5" s="9" t="inlineStr">
        <is>
          <t>SYN_FOODS_1_001</t>
        </is>
      </c>
      <c r="C5" s="9" t="inlineStr">
        <is>
          <t>CA_1</t>
        </is>
      </c>
      <c r="D5" s="9" t="inlineStr">
        <is>
          <t>FOODS</t>
        </is>
      </c>
      <c r="E5" s="9" t="inlineStr">
        <is>
          <t>SUP-01</t>
        </is>
      </c>
      <c r="F5" s="10" t="n">
        <v>75</v>
      </c>
      <c r="G5" s="10" t="n">
        <v>0</v>
      </c>
      <c r="H5" s="11" t="n">
        <v>3.77</v>
      </c>
      <c r="I5" s="11">
        <f>F5*H5</f>
        <v/>
      </c>
      <c r="J5" s="12">
        <f>'Reorder Points'!T5</f>
        <v/>
      </c>
      <c r="K5" s="9" t="inlineStr">
        <is>
          <t>Medium</t>
        </is>
      </c>
      <c r="L5" s="13" t="n">
        <v>1.764029367024023e-08</v>
      </c>
      <c r="N5" s="14" t="inlineStr">
        <is>
          <t>Inventory value</t>
        </is>
      </c>
      <c r="O5" s="14" t="inlineStr">
        <is>
          <t>CA_1</t>
        </is>
      </c>
      <c r="P5" s="14" t="inlineStr">
        <is>
          <t>CA_2</t>
        </is>
      </c>
    </row>
    <row r="6">
      <c r="A6" s="9" t="inlineStr">
        <is>
          <t>SYN_FOODS_1_003_CA_1</t>
        </is>
      </c>
      <c r="B6" s="9" t="inlineStr">
        <is>
          <t>SYN_FOODS_1_003</t>
        </is>
      </c>
      <c r="C6" s="9" t="inlineStr">
        <is>
          <t>CA_1</t>
        </is>
      </c>
      <c r="D6" s="9" t="inlineStr">
        <is>
          <t>FOODS</t>
        </is>
      </c>
      <c r="E6" s="9" t="inlineStr">
        <is>
          <t>SUP-01</t>
        </is>
      </c>
      <c r="F6" s="10" t="n">
        <v>28</v>
      </c>
      <c r="G6" s="10" t="n">
        <v>0</v>
      </c>
      <c r="H6" s="11" t="n">
        <v>1.88</v>
      </c>
      <c r="I6" s="11">
        <f>F6*H6</f>
        <v/>
      </c>
      <c r="J6" s="12">
        <f>'Reorder Points'!T6</f>
        <v/>
      </c>
      <c r="K6" s="9" t="inlineStr">
        <is>
          <t>Low</t>
        </is>
      </c>
      <c r="L6" s="13" t="n">
        <v>0</v>
      </c>
      <c r="N6" t="inlineStr">
        <is>
          <t>FOODS</t>
        </is>
      </c>
      <c r="O6" s="15">
        <f>SUMIFS($I$5:$I$84,$D$5:$D$84,$N6,$C$5:$C$84,O$5)</f>
        <v/>
      </c>
      <c r="P6" s="15">
        <f>SUMIFS($I$5:$I$84,$D$5:$D$84,$N6,$C$5:$C$84,P$5)</f>
        <v/>
      </c>
    </row>
    <row r="7">
      <c r="A7" s="9" t="inlineStr">
        <is>
          <t>SYN_FOODS_1_008_CA_1</t>
        </is>
      </c>
      <c r="B7" s="9" t="inlineStr">
        <is>
          <t>SYN_FOODS_1_008</t>
        </is>
      </c>
      <c r="C7" s="9" t="inlineStr">
        <is>
          <t>CA_1</t>
        </is>
      </c>
      <c r="D7" s="9" t="inlineStr">
        <is>
          <t>FOODS</t>
        </is>
      </c>
      <c r="E7" s="9" t="inlineStr">
        <is>
          <t>SUP-01</t>
        </is>
      </c>
      <c r="F7" s="10" t="n">
        <v>30</v>
      </c>
      <c r="G7" s="10" t="n">
        <v>0</v>
      </c>
      <c r="H7" s="11" t="n">
        <v>4.63</v>
      </c>
      <c r="I7" s="11">
        <f>F7*H7</f>
        <v/>
      </c>
      <c r="J7" s="12">
        <f>'Reorder Points'!T7</f>
        <v/>
      </c>
      <c r="K7" s="9" t="inlineStr">
        <is>
          <t>Medium</t>
        </is>
      </c>
      <c r="L7" s="13" t="n">
        <v>0.0018553548008007</v>
      </c>
      <c r="N7" t="inlineStr">
        <is>
          <t>HOBBIES</t>
        </is>
      </c>
      <c r="O7" s="15">
        <f>SUMIFS($I$5:$I$84,$D$5:$D$84,$N7,$C$5:$C$84,O$5)</f>
        <v/>
      </c>
      <c r="P7" s="15">
        <f>SUMIFS($I$5:$I$84,$D$5:$D$84,$N7,$C$5:$C$84,P$5)</f>
        <v/>
      </c>
    </row>
    <row r="8">
      <c r="A8" s="9" t="inlineStr">
        <is>
          <t>SYN_FOODS_1_009_CA_1</t>
        </is>
      </c>
      <c r="B8" s="9" t="inlineStr">
        <is>
          <t>SYN_FOODS_1_009</t>
        </is>
      </c>
      <c r="C8" s="9" t="inlineStr">
        <is>
          <t>CA_1</t>
        </is>
      </c>
      <c r="D8" s="9" t="inlineStr">
        <is>
          <t>FOODS</t>
        </is>
      </c>
      <c r="E8" s="9" t="inlineStr">
        <is>
          <t>SUP-01</t>
        </is>
      </c>
      <c r="F8" s="10" t="n">
        <v>318</v>
      </c>
      <c r="G8" s="10" t="n">
        <v>0</v>
      </c>
      <c r="H8" s="11" t="n">
        <v>5.45</v>
      </c>
      <c r="I8" s="11">
        <f>F8*H8</f>
        <v/>
      </c>
      <c r="J8" s="12">
        <f>'Reorder Points'!T8</f>
        <v/>
      </c>
      <c r="K8" s="9" t="inlineStr">
        <is>
          <t>Low</t>
        </is>
      </c>
      <c r="L8" s="13" t="n">
        <v>0</v>
      </c>
      <c r="N8" t="inlineStr">
        <is>
          <t>HOUSEHOLD</t>
        </is>
      </c>
      <c r="O8" s="15">
        <f>SUMIFS($I$5:$I$84,$D$5:$D$84,$N8,$C$5:$C$84,O$5)</f>
        <v/>
      </c>
      <c r="P8" s="15">
        <f>SUMIFS($I$5:$I$84,$D$5:$D$84,$N8,$C$5:$C$84,P$5)</f>
        <v/>
      </c>
    </row>
    <row r="9">
      <c r="A9" s="9" t="inlineStr">
        <is>
          <t>SYN_FOODS_2_004_CA_1</t>
        </is>
      </c>
      <c r="B9" s="9" t="inlineStr">
        <is>
          <t>SYN_FOODS_2_004</t>
        </is>
      </c>
      <c r="C9" s="9" t="inlineStr">
        <is>
          <t>CA_1</t>
        </is>
      </c>
      <c r="D9" s="9" t="inlineStr">
        <is>
          <t>FOODS</t>
        </is>
      </c>
      <c r="E9" s="9" t="inlineStr">
        <is>
          <t>SUP-02</t>
        </is>
      </c>
      <c r="F9" s="10" t="n">
        <v>15</v>
      </c>
      <c r="G9" s="10" t="n">
        <v>0</v>
      </c>
      <c r="H9" s="11" t="n">
        <v>2.01</v>
      </c>
      <c r="I9" s="11">
        <f>F9*H9</f>
        <v/>
      </c>
      <c r="J9" s="12">
        <f>'Reorder Points'!T9</f>
        <v/>
      </c>
      <c r="K9" s="9" t="inlineStr">
        <is>
          <t>Medium</t>
        </is>
      </c>
      <c r="L9" s="13" t="n">
        <v>0.0034799799119222</v>
      </c>
    </row>
    <row r="10">
      <c r="A10" s="9" t="inlineStr">
        <is>
          <t>SYN_FOODS_2_005_CA_1</t>
        </is>
      </c>
      <c r="B10" s="9" t="inlineStr">
        <is>
          <t>SYN_FOODS_2_005</t>
        </is>
      </c>
      <c r="C10" s="9" t="inlineStr">
        <is>
          <t>CA_1</t>
        </is>
      </c>
      <c r="D10" s="9" t="inlineStr">
        <is>
          <t>FOODS</t>
        </is>
      </c>
      <c r="E10" s="9" t="inlineStr">
        <is>
          <t>SUP-02</t>
        </is>
      </c>
      <c r="F10" s="10" t="n">
        <v>12</v>
      </c>
      <c r="G10" s="10" t="n">
        <v>0</v>
      </c>
      <c r="H10" s="11" t="n">
        <v>5.21</v>
      </c>
      <c r="I10" s="11">
        <f>F10*H10</f>
        <v/>
      </c>
      <c r="J10" s="12">
        <f>'Reorder Points'!T10</f>
        <v/>
      </c>
      <c r="K10" s="9" t="inlineStr">
        <is>
          <t>Medium</t>
        </is>
      </c>
      <c r="L10" s="13" t="n">
        <v>0.3433682812254803</v>
      </c>
      <c r="N10" s="14" t="inlineStr">
        <is>
          <t>Lines by risk</t>
        </is>
      </c>
    </row>
    <row r="11">
      <c r="A11" s="9" t="inlineStr">
        <is>
          <t>SYN_FOODS_2_006_CA_1</t>
        </is>
      </c>
      <c r="B11" s="9" t="inlineStr">
        <is>
          <t>SYN_FOODS_2_006</t>
        </is>
      </c>
      <c r="C11" s="9" t="inlineStr">
        <is>
          <t>CA_1</t>
        </is>
      </c>
      <c r="D11" s="9" t="inlineStr">
        <is>
          <t>FOODS</t>
        </is>
      </c>
      <c r="E11" s="9" t="inlineStr">
        <is>
          <t>SUP-02</t>
        </is>
      </c>
      <c r="F11" s="10" t="n">
        <v>66</v>
      </c>
      <c r="G11" s="10" t="n">
        <v>0</v>
      </c>
      <c r="H11" s="11" t="n">
        <v>1.46</v>
      </c>
      <c r="I11" s="11">
        <f>F11*H11</f>
        <v/>
      </c>
      <c r="J11" s="12">
        <f>'Reorder Points'!T11</f>
        <v/>
      </c>
      <c r="K11" s="9" t="inlineStr">
        <is>
          <t>Low</t>
        </is>
      </c>
      <c r="L11" s="13" t="n">
        <v>0</v>
      </c>
      <c r="N11" t="inlineStr">
        <is>
          <t>High</t>
        </is>
      </c>
      <c r="O11">
        <f>COUNTIFS($K$5:$K$84,$N11,$C$5:$C$84,O$5)</f>
        <v/>
      </c>
      <c r="P11">
        <f>COUNTIFS($K$5:$K$84,$N11,$C$5:$C$84,P$5)</f>
        <v/>
      </c>
    </row>
    <row r="12">
      <c r="A12" s="9" t="inlineStr">
        <is>
          <t>SYN_FOODS_2_008_CA_1</t>
        </is>
      </c>
      <c r="B12" s="9" t="inlineStr">
        <is>
          <t>SYN_FOODS_2_008</t>
        </is>
      </c>
      <c r="C12" s="9" t="inlineStr">
        <is>
          <t>CA_1</t>
        </is>
      </c>
      <c r="D12" s="9" t="inlineStr">
        <is>
          <t>FOODS</t>
        </is>
      </c>
      <c r="E12" s="9" t="inlineStr">
        <is>
          <t>SUP-02</t>
        </is>
      </c>
      <c r="F12" s="10" t="n">
        <v>7</v>
      </c>
      <c r="G12" s="10" t="n">
        <v>0</v>
      </c>
      <c r="H12" s="11" t="n">
        <v>4.95</v>
      </c>
      <c r="I12" s="11">
        <f>F12*H12</f>
        <v/>
      </c>
      <c r="J12" s="12">
        <f>'Reorder Points'!T12</f>
        <v/>
      </c>
      <c r="K12" s="9" t="inlineStr">
        <is>
          <t>Medium</t>
        </is>
      </c>
      <c r="L12" s="13" t="n">
        <v>0.2219102153470775</v>
      </c>
      <c r="N12" t="inlineStr">
        <is>
          <t>Medium</t>
        </is>
      </c>
      <c r="O12">
        <f>COUNTIFS($K$5:$K$84,$N12,$C$5:$C$84,O$5)</f>
        <v/>
      </c>
      <c r="P12">
        <f>COUNTIFS($K$5:$K$84,$N12,$C$5:$C$84,P$5)</f>
        <v/>
      </c>
    </row>
    <row r="13">
      <c r="A13" s="9" t="inlineStr">
        <is>
          <t>SYN_FOODS_2_009_CA_1</t>
        </is>
      </c>
      <c r="B13" s="9" t="inlineStr">
        <is>
          <t>SYN_FOODS_2_009</t>
        </is>
      </c>
      <c r="C13" s="9" t="inlineStr">
        <is>
          <t>CA_1</t>
        </is>
      </c>
      <c r="D13" s="9" t="inlineStr">
        <is>
          <t>FOODS</t>
        </is>
      </c>
      <c r="E13" s="9" t="inlineStr">
        <is>
          <t>SUP-02</t>
        </is>
      </c>
      <c r="F13" s="10" t="n">
        <v>583</v>
      </c>
      <c r="G13" s="10" t="n">
        <v>0</v>
      </c>
      <c r="H13" s="11" t="n">
        <v>4.18</v>
      </c>
      <c r="I13" s="11">
        <f>F13*H13</f>
        <v/>
      </c>
      <c r="J13" s="12">
        <f>'Reorder Points'!T13</f>
        <v/>
      </c>
      <c r="K13" s="9" t="inlineStr">
        <is>
          <t>Low</t>
        </is>
      </c>
      <c r="L13" s="13" t="n">
        <v>0</v>
      </c>
      <c r="N13" t="inlineStr">
        <is>
          <t>Low</t>
        </is>
      </c>
      <c r="O13">
        <f>COUNTIFS($K$5:$K$84,$N13,$C$5:$C$84,O$5)</f>
        <v/>
      </c>
      <c r="P13">
        <f>COUNTIFS($K$5:$K$84,$N13,$C$5:$C$84,P$5)</f>
        <v/>
      </c>
    </row>
    <row r="14">
      <c r="A14" s="9" t="inlineStr">
        <is>
          <t>SYN_FOODS_3_002_CA_1</t>
        </is>
      </c>
      <c r="B14" s="9" t="inlineStr">
        <is>
          <t>SYN_FOODS_3_002</t>
        </is>
      </c>
      <c r="C14" s="9" t="inlineStr">
        <is>
          <t>CA_1</t>
        </is>
      </c>
      <c r="D14" s="9" t="inlineStr">
        <is>
          <t>FOODS</t>
        </is>
      </c>
      <c r="E14" s="9" t="inlineStr">
        <is>
          <t>SUP-03</t>
        </is>
      </c>
      <c r="F14" s="10" t="n">
        <v>61</v>
      </c>
      <c r="G14" s="10" t="n">
        <v>0</v>
      </c>
      <c r="H14" s="11" t="n">
        <v>2.42</v>
      </c>
      <c r="I14" s="11">
        <f>F14*H14</f>
        <v/>
      </c>
      <c r="J14" s="12">
        <f>'Reorder Points'!T14</f>
        <v/>
      </c>
      <c r="K14" s="9" t="inlineStr">
        <is>
          <t>Low</t>
        </is>
      </c>
      <c r="L14" s="13" t="n">
        <v>0</v>
      </c>
    </row>
    <row r="15">
      <c r="A15" s="9" t="inlineStr">
        <is>
          <t>SYN_FOODS_3_003_CA_1</t>
        </is>
      </c>
      <c r="B15" s="9" t="inlineStr">
        <is>
          <t>SYN_FOODS_3_003</t>
        </is>
      </c>
      <c r="C15" s="9" t="inlineStr">
        <is>
          <t>CA_1</t>
        </is>
      </c>
      <c r="D15" s="9" t="inlineStr">
        <is>
          <t>FOODS</t>
        </is>
      </c>
      <c r="E15" s="9" t="inlineStr">
        <is>
          <t>SUP-03</t>
        </is>
      </c>
      <c r="F15" s="10" t="n">
        <v>284</v>
      </c>
      <c r="G15" s="10" t="n">
        <v>0</v>
      </c>
      <c r="H15" s="11" t="n">
        <v>1.27</v>
      </c>
      <c r="I15" s="11">
        <f>F15*H15</f>
        <v/>
      </c>
      <c r="J15" s="12">
        <f>'Reorder Points'!T15</f>
        <v/>
      </c>
      <c r="K15" s="9" t="inlineStr">
        <is>
          <t>Low</t>
        </is>
      </c>
      <c r="L15" s="13" t="n">
        <v>0</v>
      </c>
    </row>
    <row r="16">
      <c r="A16" s="9" t="inlineStr">
        <is>
          <t>SYN_FOODS_3_004_CA_1</t>
        </is>
      </c>
      <c r="B16" s="9" t="inlineStr">
        <is>
          <t>SYN_FOODS_3_004</t>
        </is>
      </c>
      <c r="C16" s="9" t="inlineStr">
        <is>
          <t>CA_1</t>
        </is>
      </c>
      <c r="D16" s="9" t="inlineStr">
        <is>
          <t>FOODS</t>
        </is>
      </c>
      <c r="E16" s="9" t="inlineStr">
        <is>
          <t>SUP-03</t>
        </is>
      </c>
      <c r="F16" s="10" t="n">
        <v>276</v>
      </c>
      <c r="G16" s="10" t="n">
        <v>0</v>
      </c>
      <c r="H16" s="11" t="n">
        <v>0.96</v>
      </c>
      <c r="I16" s="11">
        <f>F16*H16</f>
        <v/>
      </c>
      <c r="J16" s="12">
        <f>'Reorder Points'!T16</f>
        <v/>
      </c>
      <c r="K16" s="9" t="inlineStr">
        <is>
          <t>Low</t>
        </is>
      </c>
      <c r="L16" s="13" t="n">
        <v>0</v>
      </c>
    </row>
    <row r="17">
      <c r="A17" s="9" t="inlineStr">
        <is>
          <t>SYN_FOODS_3_005_CA_1</t>
        </is>
      </c>
      <c r="B17" s="9" t="inlineStr">
        <is>
          <t>SYN_FOODS_3_005</t>
        </is>
      </c>
      <c r="C17" s="9" t="inlineStr">
        <is>
          <t>CA_1</t>
        </is>
      </c>
      <c r="D17" s="9" t="inlineStr">
        <is>
          <t>FOODS</t>
        </is>
      </c>
      <c r="E17" s="9" t="inlineStr">
        <is>
          <t>SUP-03</t>
        </is>
      </c>
      <c r="F17" s="10" t="n">
        <v>319</v>
      </c>
      <c r="G17" s="10" t="n">
        <v>0</v>
      </c>
      <c r="H17" s="11" t="n">
        <v>1.76</v>
      </c>
      <c r="I17" s="11">
        <f>F17*H17</f>
        <v/>
      </c>
      <c r="J17" s="12">
        <f>'Reorder Points'!T17</f>
        <v/>
      </c>
      <c r="K17" s="9" t="inlineStr">
        <is>
          <t>Low</t>
        </is>
      </c>
      <c r="L17" s="13" t="n">
        <v>0</v>
      </c>
    </row>
    <row r="18">
      <c r="A18" s="9" t="inlineStr">
        <is>
          <t>SYN_FOODS_3_007_CA_1</t>
        </is>
      </c>
      <c r="B18" s="9" t="inlineStr">
        <is>
          <t>SYN_FOODS_3_007</t>
        </is>
      </c>
      <c r="C18" s="9" t="inlineStr">
        <is>
          <t>CA_1</t>
        </is>
      </c>
      <c r="D18" s="9" t="inlineStr">
        <is>
          <t>FOODS</t>
        </is>
      </c>
      <c r="E18" s="9" t="inlineStr">
        <is>
          <t>SUP-03</t>
        </is>
      </c>
      <c r="F18" s="10" t="n">
        <v>194</v>
      </c>
      <c r="G18" s="10" t="n">
        <v>0</v>
      </c>
      <c r="H18" s="11" t="n">
        <v>1.99</v>
      </c>
      <c r="I18" s="11">
        <f>F18*H18</f>
        <v/>
      </c>
      <c r="J18" s="12">
        <f>'Reorder Points'!T18</f>
        <v/>
      </c>
      <c r="K18" s="9" t="inlineStr">
        <is>
          <t>Low</t>
        </is>
      </c>
      <c r="L18" s="13" t="n">
        <v>0</v>
      </c>
    </row>
    <row r="19">
      <c r="A19" s="9" t="inlineStr">
        <is>
          <t>SYN_FOODS_3_008_CA_1</t>
        </is>
      </c>
      <c r="B19" s="9" t="inlineStr">
        <is>
          <t>SYN_FOODS_3_008</t>
        </is>
      </c>
      <c r="C19" s="9" t="inlineStr">
        <is>
          <t>CA_1</t>
        </is>
      </c>
      <c r="D19" s="9" t="inlineStr">
        <is>
          <t>FOODS</t>
        </is>
      </c>
      <c r="E19" s="9" t="inlineStr">
        <is>
          <t>SUP-03</t>
        </is>
      </c>
      <c r="F19" s="10" t="n">
        <v>8</v>
      </c>
      <c r="G19" s="10" t="n">
        <v>0</v>
      </c>
      <c r="H19" s="11" t="n">
        <v>2.92</v>
      </c>
      <c r="I19" s="11">
        <f>F19*H19</f>
        <v/>
      </c>
      <c r="J19" s="12">
        <f>'Reorder Points'!T19</f>
        <v/>
      </c>
      <c r="K19" s="9" t="inlineStr">
        <is>
          <t>Medium</t>
        </is>
      </c>
      <c r="L19" s="13" t="n">
        <v>0.0003696858468241</v>
      </c>
    </row>
    <row r="20">
      <c r="A20" s="9" t="inlineStr">
        <is>
          <t>SYN_FOODS_3_009_CA_1</t>
        </is>
      </c>
      <c r="B20" s="9" t="inlineStr">
        <is>
          <t>SYN_FOODS_3_009</t>
        </is>
      </c>
      <c r="C20" s="9" t="inlineStr">
        <is>
          <t>CA_1</t>
        </is>
      </c>
      <c r="D20" s="9" t="inlineStr">
        <is>
          <t>FOODS</t>
        </is>
      </c>
      <c r="E20" s="9" t="inlineStr">
        <is>
          <t>SUP-03</t>
        </is>
      </c>
      <c r="F20" s="10" t="n">
        <v>139</v>
      </c>
      <c r="G20" s="10" t="n">
        <v>0</v>
      </c>
      <c r="H20" s="11" t="n">
        <v>5.33</v>
      </c>
      <c r="I20" s="11">
        <f>F20*H20</f>
        <v/>
      </c>
      <c r="J20" s="12">
        <f>'Reorder Points'!T20</f>
        <v/>
      </c>
      <c r="K20" s="9" t="inlineStr">
        <is>
          <t>Medium</t>
        </is>
      </c>
      <c r="L20" s="13" t="n">
        <v>1.779931065870599e-07</v>
      </c>
    </row>
    <row r="21">
      <c r="A21" s="9" t="inlineStr">
        <is>
          <t>SYN_HOBBIES_1_001_CA_1</t>
        </is>
      </c>
      <c r="B21" s="9" t="inlineStr">
        <is>
          <t>SYN_HOBBIES_1_001</t>
        </is>
      </c>
      <c r="C21" s="9" t="inlineStr">
        <is>
          <t>CA_1</t>
        </is>
      </c>
      <c r="D21" s="9" t="inlineStr">
        <is>
          <t>HOBBIES</t>
        </is>
      </c>
      <c r="E21" s="9" t="inlineStr">
        <is>
          <t>SUP-04</t>
        </is>
      </c>
      <c r="F21" s="10" t="n">
        <v>76</v>
      </c>
      <c r="G21" s="10" t="n">
        <v>0</v>
      </c>
      <c r="H21" s="11" t="n">
        <v>5.49</v>
      </c>
      <c r="I21" s="11">
        <f>F21*H21</f>
        <v/>
      </c>
      <c r="J21" s="12">
        <f>'Reorder Points'!T21</f>
        <v/>
      </c>
      <c r="K21" s="9" t="inlineStr">
        <is>
          <t>Medium</t>
        </is>
      </c>
      <c r="L21" s="13" t="n">
        <v>0.3579901415845288</v>
      </c>
    </row>
    <row r="22">
      <c r="A22" s="9" t="inlineStr">
        <is>
          <t>SYN_HOBBIES_1_003_CA_1</t>
        </is>
      </c>
      <c r="B22" s="9" t="inlineStr">
        <is>
          <t>SYN_HOBBIES_1_003</t>
        </is>
      </c>
      <c r="C22" s="9" t="inlineStr">
        <is>
          <t>CA_1</t>
        </is>
      </c>
      <c r="D22" s="9" t="inlineStr">
        <is>
          <t>HOBBIES</t>
        </is>
      </c>
      <c r="E22" s="9" t="inlineStr">
        <is>
          <t>SUP-04</t>
        </is>
      </c>
      <c r="F22" s="10" t="n">
        <v>29</v>
      </c>
      <c r="G22" s="10" t="n">
        <v>0</v>
      </c>
      <c r="H22" s="11" t="n">
        <v>10.92</v>
      </c>
      <c r="I22" s="11">
        <f>F22*H22</f>
        <v/>
      </c>
      <c r="J22" s="12">
        <f>'Reorder Points'!T22</f>
        <v/>
      </c>
      <c r="K22" s="9" t="inlineStr">
        <is>
          <t>Medium</t>
        </is>
      </c>
      <c r="L22" s="13" t="n">
        <v>0.0392495320721127</v>
      </c>
    </row>
    <row r="23">
      <c r="A23" s="9" t="inlineStr">
        <is>
          <t>SYN_HOBBIES_1_004_CA_1</t>
        </is>
      </c>
      <c r="B23" s="9" t="inlineStr">
        <is>
          <t>SYN_HOBBIES_1_004</t>
        </is>
      </c>
      <c r="C23" s="9" t="inlineStr">
        <is>
          <t>CA_1</t>
        </is>
      </c>
      <c r="D23" s="9" t="inlineStr">
        <is>
          <t>HOBBIES</t>
        </is>
      </c>
      <c r="E23" s="9" t="inlineStr">
        <is>
          <t>SUP-04</t>
        </is>
      </c>
      <c r="F23" s="10" t="n">
        <v>24</v>
      </c>
      <c r="G23" s="10" t="n">
        <v>0</v>
      </c>
      <c r="H23" s="11" t="n">
        <v>6.15</v>
      </c>
      <c r="I23" s="11">
        <f>F23*H23</f>
        <v/>
      </c>
      <c r="J23" s="12">
        <f>'Reorder Points'!T23</f>
        <v/>
      </c>
      <c r="K23" s="9" t="inlineStr">
        <is>
          <t>Low</t>
        </is>
      </c>
      <c r="L23" s="13" t="n">
        <v>7.221416401304026e-06</v>
      </c>
    </row>
    <row r="24">
      <c r="A24" s="9" t="inlineStr">
        <is>
          <t>SYN_HOBBIES_1_005_CA_1</t>
        </is>
      </c>
      <c r="B24" s="9" t="inlineStr">
        <is>
          <t>SYN_HOBBIES_1_005</t>
        </is>
      </c>
      <c r="C24" s="9" t="inlineStr">
        <is>
          <t>CA_1</t>
        </is>
      </c>
      <c r="D24" s="9" t="inlineStr">
        <is>
          <t>HOBBIES</t>
        </is>
      </c>
      <c r="E24" s="9" t="inlineStr">
        <is>
          <t>SUP-04</t>
        </is>
      </c>
      <c r="F24" s="10" t="n">
        <v>16</v>
      </c>
      <c r="G24" s="10" t="n">
        <v>0</v>
      </c>
      <c r="H24" s="11" t="n">
        <v>6.44</v>
      </c>
      <c r="I24" s="11">
        <f>F24*H24</f>
        <v/>
      </c>
      <c r="J24" s="12">
        <f>'Reorder Points'!T24</f>
        <v/>
      </c>
      <c r="K24" s="9" t="inlineStr">
        <is>
          <t>Low</t>
        </is>
      </c>
      <c r="L24" s="13" t="n">
        <v>0.0001257915726697</v>
      </c>
    </row>
    <row r="25">
      <c r="A25" s="9" t="inlineStr">
        <is>
          <t>SYN_HOBBIES_1_006_CA_1</t>
        </is>
      </c>
      <c r="B25" s="9" t="inlineStr">
        <is>
          <t>SYN_HOBBIES_1_006</t>
        </is>
      </c>
      <c r="C25" s="9" t="inlineStr">
        <is>
          <t>CA_1</t>
        </is>
      </c>
      <c r="D25" s="9" t="inlineStr">
        <is>
          <t>HOBBIES</t>
        </is>
      </c>
      <c r="E25" s="9" t="inlineStr">
        <is>
          <t>SUP-04</t>
        </is>
      </c>
      <c r="F25" s="10" t="n">
        <v>21</v>
      </c>
      <c r="G25" s="10" t="n">
        <v>6</v>
      </c>
      <c r="H25" s="11" t="n">
        <v>8.199999999999999</v>
      </c>
      <c r="I25" s="11">
        <f>F25*H25</f>
        <v/>
      </c>
      <c r="J25" s="12">
        <f>'Reorder Points'!T25</f>
        <v/>
      </c>
      <c r="K25" s="9" t="inlineStr">
        <is>
          <t>Medium</t>
        </is>
      </c>
      <c r="L25" s="13" t="n">
        <v>0.0613213005050373</v>
      </c>
    </row>
    <row r="26">
      <c r="A26" s="9" t="inlineStr">
        <is>
          <t>SYN_HOBBIES_1_007_CA_1</t>
        </is>
      </c>
      <c r="B26" s="9" t="inlineStr">
        <is>
          <t>SYN_HOBBIES_1_007</t>
        </is>
      </c>
      <c r="C26" s="9" t="inlineStr">
        <is>
          <t>CA_1</t>
        </is>
      </c>
      <c r="D26" s="9" t="inlineStr">
        <is>
          <t>HOBBIES</t>
        </is>
      </c>
      <c r="E26" s="9" t="inlineStr">
        <is>
          <t>SUP-04</t>
        </is>
      </c>
      <c r="F26" s="10" t="n">
        <v>36</v>
      </c>
      <c r="G26" s="10" t="n">
        <v>0</v>
      </c>
      <c r="H26" s="11" t="n">
        <v>2.96</v>
      </c>
      <c r="I26" s="11">
        <f>F26*H26</f>
        <v/>
      </c>
      <c r="J26" s="12">
        <f>'Reorder Points'!T26</f>
        <v/>
      </c>
      <c r="K26" s="9" t="inlineStr">
        <is>
          <t>Low</t>
        </is>
      </c>
      <c r="L26" s="13" t="n">
        <v>0.0001227503930664</v>
      </c>
    </row>
    <row r="27">
      <c r="A27" s="9" t="inlineStr">
        <is>
          <t>SYN_HOBBIES_1_009_CA_1</t>
        </is>
      </c>
      <c r="B27" s="9" t="inlineStr">
        <is>
          <t>SYN_HOBBIES_1_009</t>
        </is>
      </c>
      <c r="C27" s="9" t="inlineStr">
        <is>
          <t>CA_1</t>
        </is>
      </c>
      <c r="D27" s="9" t="inlineStr">
        <is>
          <t>HOBBIES</t>
        </is>
      </c>
      <c r="E27" s="9" t="inlineStr">
        <is>
          <t>SUP-04</t>
        </is>
      </c>
      <c r="F27" s="10" t="n">
        <v>353</v>
      </c>
      <c r="G27" s="10" t="n">
        <v>0</v>
      </c>
      <c r="H27" s="11" t="n">
        <v>6.38</v>
      </c>
      <c r="I27" s="11">
        <f>F27*H27</f>
        <v/>
      </c>
      <c r="J27" s="12">
        <f>'Reorder Points'!T27</f>
        <v/>
      </c>
      <c r="K27" s="9" t="inlineStr">
        <is>
          <t>Low</t>
        </is>
      </c>
      <c r="L27" s="13" t="n">
        <v>8.546424141930853e-05</v>
      </c>
    </row>
    <row r="28">
      <c r="A28" s="9" t="inlineStr">
        <is>
          <t>SYN_HOBBIES_2_001_CA_1</t>
        </is>
      </c>
      <c r="B28" s="9" t="inlineStr">
        <is>
          <t>SYN_HOBBIES_2_001</t>
        </is>
      </c>
      <c r="C28" s="9" t="inlineStr">
        <is>
          <t>CA_1</t>
        </is>
      </c>
      <c r="D28" s="9" t="inlineStr">
        <is>
          <t>HOBBIES</t>
        </is>
      </c>
      <c r="E28" s="9" t="inlineStr">
        <is>
          <t>SUP-04</t>
        </is>
      </c>
      <c r="F28" s="10" t="n">
        <v>108</v>
      </c>
      <c r="G28" s="10" t="n">
        <v>0</v>
      </c>
      <c r="H28" s="11" t="n">
        <v>8.15</v>
      </c>
      <c r="I28" s="11">
        <f>F28*H28</f>
        <v/>
      </c>
      <c r="J28" s="12">
        <f>'Reorder Points'!T28</f>
        <v/>
      </c>
      <c r="K28" s="9" t="inlineStr">
        <is>
          <t>Low</t>
        </is>
      </c>
      <c r="L28" s="13" t="n">
        <v>0.0001193216042288</v>
      </c>
    </row>
    <row r="29">
      <c r="A29" s="9" t="inlineStr">
        <is>
          <t>SYN_HOBBIES_2_002_CA_1</t>
        </is>
      </c>
      <c r="B29" s="9" t="inlineStr">
        <is>
          <t>SYN_HOBBIES_2_002</t>
        </is>
      </c>
      <c r="C29" s="9" t="inlineStr">
        <is>
          <t>CA_1</t>
        </is>
      </c>
      <c r="D29" s="9" t="inlineStr">
        <is>
          <t>HOBBIES</t>
        </is>
      </c>
      <c r="E29" s="9" t="inlineStr">
        <is>
          <t>SUP-04</t>
        </is>
      </c>
      <c r="F29" s="10" t="n">
        <v>13</v>
      </c>
      <c r="G29" s="10" t="n">
        <v>0</v>
      </c>
      <c r="H29" s="11" t="n">
        <v>8.380000000000001</v>
      </c>
      <c r="I29" s="11">
        <f>F29*H29</f>
        <v/>
      </c>
      <c r="J29" s="12">
        <f>'Reorder Points'!T29</f>
        <v/>
      </c>
      <c r="K29" s="9" t="inlineStr">
        <is>
          <t>Medium</t>
        </is>
      </c>
      <c r="L29" s="13" t="n">
        <v>0.1169594702085774</v>
      </c>
    </row>
    <row r="30">
      <c r="A30" s="9" t="inlineStr">
        <is>
          <t>SYN_HOBBIES_2_004_CA_1</t>
        </is>
      </c>
      <c r="B30" s="9" t="inlineStr">
        <is>
          <t>SYN_HOBBIES_2_004</t>
        </is>
      </c>
      <c r="C30" s="9" t="inlineStr">
        <is>
          <t>CA_1</t>
        </is>
      </c>
      <c r="D30" s="9" t="inlineStr">
        <is>
          <t>HOBBIES</t>
        </is>
      </c>
      <c r="E30" s="9" t="inlineStr">
        <is>
          <t>SUP-04</t>
        </is>
      </c>
      <c r="F30" s="10" t="n">
        <v>712</v>
      </c>
      <c r="G30" s="10" t="n">
        <v>408</v>
      </c>
      <c r="H30" s="11" t="n">
        <v>2.49</v>
      </c>
      <c r="I30" s="11">
        <f>F30*H30</f>
        <v/>
      </c>
      <c r="J30" s="12">
        <f>'Reorder Points'!T30</f>
        <v/>
      </c>
      <c r="K30" s="9" t="inlineStr">
        <is>
          <t>Low</t>
        </is>
      </c>
      <c r="L30" s="13" t="n">
        <v>1.806808853643816e-07</v>
      </c>
    </row>
    <row r="31">
      <c r="A31" s="9" t="inlineStr">
        <is>
          <t>SYN_HOBBIES_2_005_CA_1</t>
        </is>
      </c>
      <c r="B31" s="9" t="inlineStr">
        <is>
          <t>SYN_HOBBIES_2_005</t>
        </is>
      </c>
      <c r="C31" s="9" t="inlineStr">
        <is>
          <t>CA_1</t>
        </is>
      </c>
      <c r="D31" s="9" t="inlineStr">
        <is>
          <t>HOBBIES</t>
        </is>
      </c>
      <c r="E31" s="9" t="inlineStr">
        <is>
          <t>SUP-04</t>
        </is>
      </c>
      <c r="F31" s="10" t="n">
        <v>422</v>
      </c>
      <c r="G31" s="10" t="n">
        <v>480</v>
      </c>
      <c r="H31" s="11" t="n">
        <v>4.5</v>
      </c>
      <c r="I31" s="11">
        <f>F31*H31</f>
        <v/>
      </c>
      <c r="J31" s="12">
        <f>'Reorder Points'!T31</f>
        <v/>
      </c>
      <c r="K31" s="9" t="inlineStr">
        <is>
          <t>Low</t>
        </is>
      </c>
      <c r="L31" s="13" t="n">
        <v>1.682236967504025e-07</v>
      </c>
    </row>
    <row r="32">
      <c r="A32" s="9" t="inlineStr">
        <is>
          <t>SYN_HOBBIES_2_006_CA_1</t>
        </is>
      </c>
      <c r="B32" s="9" t="inlineStr">
        <is>
          <t>SYN_HOBBIES_2_006</t>
        </is>
      </c>
      <c r="C32" s="9" t="inlineStr">
        <is>
          <t>CA_1</t>
        </is>
      </c>
      <c r="D32" s="9" t="inlineStr">
        <is>
          <t>HOBBIES</t>
        </is>
      </c>
      <c r="E32" s="9" t="inlineStr">
        <is>
          <t>SUP-04</t>
        </is>
      </c>
      <c r="F32" s="10" t="n">
        <v>354</v>
      </c>
      <c r="G32" s="10" t="n">
        <v>540</v>
      </c>
      <c r="H32" s="11" t="n">
        <v>7.81</v>
      </c>
      <c r="I32" s="11">
        <f>F32*H32</f>
        <v/>
      </c>
      <c r="J32" s="12">
        <f>'Reorder Points'!T32</f>
        <v/>
      </c>
      <c r="K32" s="9" t="inlineStr">
        <is>
          <t>Low</t>
        </is>
      </c>
      <c r="L32" s="13" t="n">
        <v>2.199922753243211e-05</v>
      </c>
    </row>
    <row r="33">
      <c r="A33" s="9" t="inlineStr">
        <is>
          <t>SYN_HOBBIES_2_007_CA_1</t>
        </is>
      </c>
      <c r="B33" s="9" t="inlineStr">
        <is>
          <t>SYN_HOBBIES_2_007</t>
        </is>
      </c>
      <c r="C33" s="9" t="inlineStr">
        <is>
          <t>CA_1</t>
        </is>
      </c>
      <c r="D33" s="9" t="inlineStr">
        <is>
          <t>HOBBIES</t>
        </is>
      </c>
      <c r="E33" s="9" t="inlineStr">
        <is>
          <t>SUP-04</t>
        </is>
      </c>
      <c r="F33" s="10" t="n">
        <v>13</v>
      </c>
      <c r="G33" s="10" t="n">
        <v>0</v>
      </c>
      <c r="H33" s="11" t="n">
        <v>2.07</v>
      </c>
      <c r="I33" s="11">
        <f>F33*H33</f>
        <v/>
      </c>
      <c r="J33" s="12">
        <f>'Reorder Points'!T33</f>
        <v/>
      </c>
      <c r="K33" s="9" t="inlineStr">
        <is>
          <t>High</t>
        </is>
      </c>
      <c r="L33" s="13" t="n">
        <v>0.8413502005346086</v>
      </c>
    </row>
    <row r="34">
      <c r="A34" s="9" t="inlineStr">
        <is>
          <t>SYN_HOBBIES_2_009_CA_1</t>
        </is>
      </c>
      <c r="B34" s="9" t="inlineStr">
        <is>
          <t>SYN_HOBBIES_2_009</t>
        </is>
      </c>
      <c r="C34" s="9" t="inlineStr">
        <is>
          <t>CA_1</t>
        </is>
      </c>
      <c r="D34" s="9" t="inlineStr">
        <is>
          <t>HOBBIES</t>
        </is>
      </c>
      <c r="E34" s="9" t="inlineStr">
        <is>
          <t>SUP-04</t>
        </is>
      </c>
      <c r="F34" s="10" t="n">
        <v>133</v>
      </c>
      <c r="G34" s="10" t="n">
        <v>0</v>
      </c>
      <c r="H34" s="11" t="n">
        <v>8.869999999999999</v>
      </c>
      <c r="I34" s="11">
        <f>F34*H34</f>
        <v/>
      </c>
      <c r="J34" s="12">
        <f>'Reorder Points'!T34</f>
        <v/>
      </c>
      <c r="K34" s="9" t="inlineStr">
        <is>
          <t>Medium</t>
        </is>
      </c>
      <c r="L34" s="13" t="n">
        <v>0.0062779793950631</v>
      </c>
    </row>
    <row r="35">
      <c r="A35" s="9" t="inlineStr">
        <is>
          <t>SYN_HOUSEHOLD_1_001_CA_1</t>
        </is>
      </c>
      <c r="B35" s="9" t="inlineStr">
        <is>
          <t>SYN_HOUSEHOLD_1_001</t>
        </is>
      </c>
      <c r="C35" s="9" t="inlineStr">
        <is>
          <t>CA_1</t>
        </is>
      </c>
      <c r="D35" s="9" t="inlineStr">
        <is>
          <t>HOUSEHOLD</t>
        </is>
      </c>
      <c r="E35" s="9" t="inlineStr">
        <is>
          <t>SUP-05</t>
        </is>
      </c>
      <c r="F35" s="10" t="n">
        <v>14</v>
      </c>
      <c r="G35" s="10" t="n">
        <v>0</v>
      </c>
      <c r="H35" s="11" t="n">
        <v>1.21</v>
      </c>
      <c r="I35" s="11">
        <f>F35*H35</f>
        <v/>
      </c>
      <c r="J35" s="12">
        <f>'Reorder Points'!T35</f>
        <v/>
      </c>
      <c r="K35" s="9" t="inlineStr">
        <is>
          <t>Low</t>
        </is>
      </c>
      <c r="L35" s="13" t="n">
        <v>1.669719946584269e-05</v>
      </c>
    </row>
    <row r="36">
      <c r="A36" s="9" t="inlineStr">
        <is>
          <t>SYN_HOUSEHOLD_1_007_CA_1</t>
        </is>
      </c>
      <c r="B36" s="9" t="inlineStr">
        <is>
          <t>SYN_HOUSEHOLD_1_007</t>
        </is>
      </c>
      <c r="C36" s="9" t="inlineStr">
        <is>
          <t>CA_1</t>
        </is>
      </c>
      <c r="D36" s="9" t="inlineStr">
        <is>
          <t>HOUSEHOLD</t>
        </is>
      </c>
      <c r="E36" s="9" t="inlineStr">
        <is>
          <t>SUP-05</t>
        </is>
      </c>
      <c r="F36" s="10" t="n">
        <v>0</v>
      </c>
      <c r="G36" s="10" t="n">
        <v>192</v>
      </c>
      <c r="H36" s="11" t="n">
        <v>2.65</v>
      </c>
      <c r="I36" s="11">
        <f>F36*H36</f>
        <v/>
      </c>
      <c r="J36" s="12">
        <f>'Reorder Points'!T36</f>
        <v/>
      </c>
      <c r="K36" s="9" t="inlineStr">
        <is>
          <t>High</t>
        </is>
      </c>
      <c r="L36" s="13" t="n">
        <v>5.539654096597957e-05</v>
      </c>
    </row>
    <row r="37">
      <c r="A37" s="9" t="inlineStr">
        <is>
          <t>SYN_HOUSEHOLD_1_008_CA_1</t>
        </is>
      </c>
      <c r="B37" s="9" t="inlineStr">
        <is>
          <t>SYN_HOUSEHOLD_1_008</t>
        </is>
      </c>
      <c r="C37" s="9" t="inlineStr">
        <is>
          <t>CA_1</t>
        </is>
      </c>
      <c r="D37" s="9" t="inlineStr">
        <is>
          <t>HOUSEHOLD</t>
        </is>
      </c>
      <c r="E37" s="9" t="inlineStr">
        <is>
          <t>SUP-05</t>
        </is>
      </c>
      <c r="F37" s="10" t="n">
        <v>43</v>
      </c>
      <c r="G37" s="10" t="n">
        <v>0</v>
      </c>
      <c r="H37" s="11" t="n">
        <v>2.17</v>
      </c>
      <c r="I37" s="11">
        <f>F37*H37</f>
        <v/>
      </c>
      <c r="J37" s="12">
        <f>'Reorder Points'!T37</f>
        <v/>
      </c>
      <c r="K37" s="9" t="inlineStr">
        <is>
          <t>Medium</t>
        </is>
      </c>
      <c r="L37" s="13" t="n">
        <v>0.0014284278870115</v>
      </c>
    </row>
    <row r="38">
      <c r="A38" s="9" t="inlineStr">
        <is>
          <t>SYN_HOUSEHOLD_1_009_CA_1</t>
        </is>
      </c>
      <c r="B38" s="9" t="inlineStr">
        <is>
          <t>SYN_HOUSEHOLD_1_009</t>
        </is>
      </c>
      <c r="C38" s="9" t="inlineStr">
        <is>
          <t>CA_1</t>
        </is>
      </c>
      <c r="D38" s="9" t="inlineStr">
        <is>
          <t>HOUSEHOLD</t>
        </is>
      </c>
      <c r="E38" s="9" t="inlineStr">
        <is>
          <t>SUP-05</t>
        </is>
      </c>
      <c r="F38" s="10" t="n">
        <v>168</v>
      </c>
      <c r="G38" s="10" t="n">
        <v>228</v>
      </c>
      <c r="H38" s="11" t="n">
        <v>11.99</v>
      </c>
      <c r="I38" s="11">
        <f>F38*H38</f>
        <v/>
      </c>
      <c r="J38" s="12">
        <f>'Reorder Points'!T38</f>
        <v/>
      </c>
      <c r="K38" s="9" t="inlineStr">
        <is>
          <t>Low</t>
        </is>
      </c>
      <c r="L38" s="13" t="n">
        <v>0</v>
      </c>
    </row>
    <row r="39">
      <c r="A39" s="9" t="inlineStr">
        <is>
          <t>SYN_HOUSEHOLD_2_001_CA_1</t>
        </is>
      </c>
      <c r="B39" s="9" t="inlineStr">
        <is>
          <t>SYN_HOUSEHOLD_2_001</t>
        </is>
      </c>
      <c r="C39" s="9" t="inlineStr">
        <is>
          <t>CA_1</t>
        </is>
      </c>
      <c r="D39" s="9" t="inlineStr">
        <is>
          <t>HOUSEHOLD</t>
        </is>
      </c>
      <c r="E39" s="9" t="inlineStr">
        <is>
          <t>SUP-06</t>
        </is>
      </c>
      <c r="F39" s="10" t="n">
        <v>509</v>
      </c>
      <c r="G39" s="10" t="n">
        <v>0</v>
      </c>
      <c r="H39" s="11" t="n">
        <v>9.81</v>
      </c>
      <c r="I39" s="11">
        <f>F39*H39</f>
        <v/>
      </c>
      <c r="J39" s="12">
        <f>'Reorder Points'!T39</f>
        <v/>
      </c>
      <c r="K39" s="9" t="inlineStr">
        <is>
          <t>Low</t>
        </is>
      </c>
      <c r="L39" s="13" t="n">
        <v>0.0001182113968144</v>
      </c>
    </row>
    <row r="40">
      <c r="A40" s="9" t="inlineStr">
        <is>
          <t>SYN_HOUSEHOLD_2_003_CA_1</t>
        </is>
      </c>
      <c r="B40" s="9" t="inlineStr">
        <is>
          <t>SYN_HOUSEHOLD_2_003</t>
        </is>
      </c>
      <c r="C40" s="9" t="inlineStr">
        <is>
          <t>CA_1</t>
        </is>
      </c>
      <c r="D40" s="9" t="inlineStr">
        <is>
          <t>HOUSEHOLD</t>
        </is>
      </c>
      <c r="E40" s="9" t="inlineStr">
        <is>
          <t>SUP-06</t>
        </is>
      </c>
      <c r="F40" s="10" t="n">
        <v>90</v>
      </c>
      <c r="G40" s="10" t="n">
        <v>0</v>
      </c>
      <c r="H40" s="11" t="n">
        <v>9.94</v>
      </c>
      <c r="I40" s="11">
        <f>F40*H40</f>
        <v/>
      </c>
      <c r="J40" s="12">
        <f>'Reorder Points'!T40</f>
        <v/>
      </c>
      <c r="K40" s="9" t="inlineStr">
        <is>
          <t>Medium</t>
        </is>
      </c>
      <c r="L40" s="13" t="n">
        <v>0.045605576878219</v>
      </c>
    </row>
    <row r="41">
      <c r="A41" s="9" t="inlineStr">
        <is>
          <t>SYN_HOUSEHOLD_2_004_CA_1</t>
        </is>
      </c>
      <c r="B41" s="9" t="inlineStr">
        <is>
          <t>SYN_HOUSEHOLD_2_004</t>
        </is>
      </c>
      <c r="C41" s="9" t="inlineStr">
        <is>
          <t>CA_1</t>
        </is>
      </c>
      <c r="D41" s="9" t="inlineStr">
        <is>
          <t>HOUSEHOLD</t>
        </is>
      </c>
      <c r="E41" s="9" t="inlineStr">
        <is>
          <t>SUP-06</t>
        </is>
      </c>
      <c r="F41" s="10" t="n">
        <v>282</v>
      </c>
      <c r="G41" s="10" t="n">
        <v>276</v>
      </c>
      <c r="H41" s="11" t="n">
        <v>6.05</v>
      </c>
      <c r="I41" s="11">
        <f>F41*H41</f>
        <v/>
      </c>
      <c r="J41" s="12">
        <f>'Reorder Points'!T41</f>
        <v/>
      </c>
      <c r="K41" s="9" t="inlineStr">
        <is>
          <t>Low</t>
        </is>
      </c>
      <c r="L41" s="13" t="n">
        <v>4.970398537196273e-10</v>
      </c>
    </row>
    <row r="42">
      <c r="A42" s="9" t="inlineStr">
        <is>
          <t>SYN_HOUSEHOLD_2_005_CA_1</t>
        </is>
      </c>
      <c r="B42" s="9" t="inlineStr">
        <is>
          <t>SYN_HOUSEHOLD_2_005</t>
        </is>
      </c>
      <c r="C42" s="9" t="inlineStr">
        <is>
          <t>CA_1</t>
        </is>
      </c>
      <c r="D42" s="9" t="inlineStr">
        <is>
          <t>HOUSEHOLD</t>
        </is>
      </c>
      <c r="E42" s="9" t="inlineStr">
        <is>
          <t>SUP-06</t>
        </is>
      </c>
      <c r="F42" s="10" t="n">
        <v>29</v>
      </c>
      <c r="G42" s="10" t="n">
        <v>0</v>
      </c>
      <c r="H42" s="11" t="n">
        <v>12.02</v>
      </c>
      <c r="I42" s="11">
        <f>F42*H42</f>
        <v/>
      </c>
      <c r="J42" s="12">
        <f>'Reorder Points'!T42</f>
        <v/>
      </c>
      <c r="K42" s="9" t="inlineStr">
        <is>
          <t>Low</t>
        </is>
      </c>
      <c r="L42" s="13" t="n">
        <v>2.675938006657663e-05</v>
      </c>
    </row>
    <row r="43">
      <c r="A43" s="9" t="inlineStr">
        <is>
          <t>SYN_HOUSEHOLD_2_006_CA_1</t>
        </is>
      </c>
      <c r="B43" s="9" t="inlineStr">
        <is>
          <t>SYN_HOUSEHOLD_2_006</t>
        </is>
      </c>
      <c r="C43" s="9" t="inlineStr">
        <is>
          <t>CA_1</t>
        </is>
      </c>
      <c r="D43" s="9" t="inlineStr">
        <is>
          <t>HOUSEHOLD</t>
        </is>
      </c>
      <c r="E43" s="9" t="inlineStr">
        <is>
          <t>SUP-06</t>
        </is>
      </c>
      <c r="F43" s="10" t="n">
        <v>179</v>
      </c>
      <c r="G43" s="10" t="n">
        <v>0</v>
      </c>
      <c r="H43" s="11" t="n">
        <v>8.199999999999999</v>
      </c>
      <c r="I43" s="11">
        <f>F43*H43</f>
        <v/>
      </c>
      <c r="J43" s="12">
        <f>'Reorder Points'!T43</f>
        <v/>
      </c>
      <c r="K43" s="9" t="inlineStr">
        <is>
          <t>Low</t>
        </is>
      </c>
      <c r="L43" s="13" t="n">
        <v>4.522914694049529e-05</v>
      </c>
    </row>
    <row r="44">
      <c r="A44" s="9" t="inlineStr">
        <is>
          <t>SYN_HOUSEHOLD_2_007_CA_1</t>
        </is>
      </c>
      <c r="B44" s="9" t="inlineStr">
        <is>
          <t>SYN_HOUSEHOLD_2_007</t>
        </is>
      </c>
      <c r="C44" s="9" t="inlineStr">
        <is>
          <t>CA_1</t>
        </is>
      </c>
      <c r="D44" s="9" t="inlineStr">
        <is>
          <t>HOUSEHOLD</t>
        </is>
      </c>
      <c r="E44" s="9" t="inlineStr">
        <is>
          <t>SUP-06</t>
        </is>
      </c>
      <c r="F44" s="10" t="n">
        <v>24</v>
      </c>
      <c r="G44" s="10" t="n">
        <v>0</v>
      </c>
      <c r="H44" s="11" t="n">
        <v>12.31</v>
      </c>
      <c r="I44" s="11">
        <f>F44*H44</f>
        <v/>
      </c>
      <c r="J44" s="12">
        <f>'Reorder Points'!T44</f>
        <v/>
      </c>
      <c r="K44" s="9" t="inlineStr">
        <is>
          <t>Medium</t>
        </is>
      </c>
      <c r="L44" s="13" t="n">
        <v>0.0006138064774624</v>
      </c>
    </row>
    <row r="45">
      <c r="A45" s="9" t="inlineStr">
        <is>
          <t>SYN_FOODS_1_001_CA_2</t>
        </is>
      </c>
      <c r="B45" s="9" t="inlineStr">
        <is>
          <t>SYN_FOODS_1_001</t>
        </is>
      </c>
      <c r="C45" s="9" t="inlineStr">
        <is>
          <t>CA_2</t>
        </is>
      </c>
      <c r="D45" s="9" t="inlineStr">
        <is>
          <t>FOODS</t>
        </is>
      </c>
      <c r="E45" s="9" t="inlineStr">
        <is>
          <t>SUP-01</t>
        </is>
      </c>
      <c r="F45" s="10" t="n">
        <v>112</v>
      </c>
      <c r="G45" s="10" t="n">
        <v>0</v>
      </c>
      <c r="H45" s="11" t="n">
        <v>3.77</v>
      </c>
      <c r="I45" s="11">
        <f>F45*H45</f>
        <v/>
      </c>
      <c r="J45" s="12">
        <f>'Reorder Points'!T45</f>
        <v/>
      </c>
      <c r="K45" s="9" t="inlineStr">
        <is>
          <t>Medium</t>
        </is>
      </c>
      <c r="L45" s="13" t="n">
        <v>4.708082651516676e-07</v>
      </c>
    </row>
    <row r="46">
      <c r="A46" s="9" t="inlineStr">
        <is>
          <t>SYN_FOODS_1_002_CA_2</t>
        </is>
      </c>
      <c r="B46" s="9" t="inlineStr">
        <is>
          <t>SYN_FOODS_1_002</t>
        </is>
      </c>
      <c r="C46" s="9" t="inlineStr">
        <is>
          <t>CA_2</t>
        </is>
      </c>
      <c r="D46" s="9" t="inlineStr">
        <is>
          <t>FOODS</t>
        </is>
      </c>
      <c r="E46" s="9" t="inlineStr">
        <is>
          <t>SUP-01</t>
        </is>
      </c>
      <c r="F46" s="10" t="n">
        <v>211</v>
      </c>
      <c r="G46" s="10" t="n">
        <v>0</v>
      </c>
      <c r="H46" s="11" t="n">
        <v>1.71</v>
      </c>
      <c r="I46" s="11">
        <f>F46*H46</f>
        <v/>
      </c>
      <c r="J46" s="12">
        <f>'Reorder Points'!T46</f>
        <v/>
      </c>
      <c r="K46" s="9" t="inlineStr">
        <is>
          <t>Low</t>
        </is>
      </c>
      <c r="L46" s="13" t="n">
        <v>0</v>
      </c>
    </row>
    <row r="47">
      <c r="A47" s="9" t="inlineStr">
        <is>
          <t>SYN_FOODS_1_005_CA_2</t>
        </is>
      </c>
      <c r="B47" s="9" t="inlineStr">
        <is>
          <t>SYN_FOODS_1_005</t>
        </is>
      </c>
      <c r="C47" s="9" t="inlineStr">
        <is>
          <t>CA_2</t>
        </is>
      </c>
      <c r="D47" s="9" t="inlineStr">
        <is>
          <t>FOODS</t>
        </is>
      </c>
      <c r="E47" s="9" t="inlineStr">
        <is>
          <t>SUP-01</t>
        </is>
      </c>
      <c r="F47" s="10" t="n">
        <v>102</v>
      </c>
      <c r="G47" s="10" t="n">
        <v>0</v>
      </c>
      <c r="H47" s="11" t="n">
        <v>1.51</v>
      </c>
      <c r="I47" s="11">
        <f>F47*H47</f>
        <v/>
      </c>
      <c r="J47" s="12">
        <f>'Reorder Points'!T47</f>
        <v/>
      </c>
      <c r="K47" s="9" t="inlineStr">
        <is>
          <t>Low</t>
        </is>
      </c>
      <c r="L47" s="13" t="n">
        <v>0</v>
      </c>
    </row>
    <row r="48">
      <c r="A48" s="9" t="inlineStr">
        <is>
          <t>SYN_FOODS_1_006_CA_2</t>
        </is>
      </c>
      <c r="B48" s="9" t="inlineStr">
        <is>
          <t>SYN_FOODS_1_006</t>
        </is>
      </c>
      <c r="C48" s="9" t="inlineStr">
        <is>
          <t>CA_2</t>
        </is>
      </c>
      <c r="D48" s="9" t="inlineStr">
        <is>
          <t>FOODS</t>
        </is>
      </c>
      <c r="E48" s="9" t="inlineStr">
        <is>
          <t>SUP-01</t>
        </is>
      </c>
      <c r="F48" s="10" t="n">
        <v>32</v>
      </c>
      <c r="G48" s="10" t="n">
        <v>0</v>
      </c>
      <c r="H48" s="11" t="n">
        <v>2.29</v>
      </c>
      <c r="I48" s="11">
        <f>F48*H48</f>
        <v/>
      </c>
      <c r="J48" s="12">
        <f>'Reorder Points'!T48</f>
        <v/>
      </c>
      <c r="K48" s="9" t="inlineStr">
        <is>
          <t>Low</t>
        </is>
      </c>
      <c r="L48" s="13" t="n">
        <v>3.198052933583995e-11</v>
      </c>
    </row>
    <row r="49">
      <c r="A49" s="9" t="inlineStr">
        <is>
          <t>SYN_FOODS_1_007_CA_2</t>
        </is>
      </c>
      <c r="B49" s="9" t="inlineStr">
        <is>
          <t>SYN_FOODS_1_007</t>
        </is>
      </c>
      <c r="C49" s="9" t="inlineStr">
        <is>
          <t>CA_2</t>
        </is>
      </c>
      <c r="D49" s="9" t="inlineStr">
        <is>
          <t>FOODS</t>
        </is>
      </c>
      <c r="E49" s="9" t="inlineStr">
        <is>
          <t>SUP-01</t>
        </is>
      </c>
      <c r="F49" s="10" t="n">
        <v>257</v>
      </c>
      <c r="G49" s="10" t="n">
        <v>0</v>
      </c>
      <c r="H49" s="11" t="n">
        <v>5.47</v>
      </c>
      <c r="I49" s="11">
        <f>F49*H49</f>
        <v/>
      </c>
      <c r="J49" s="12">
        <f>'Reorder Points'!T49</f>
        <v/>
      </c>
      <c r="K49" s="9" t="inlineStr">
        <is>
          <t>Medium</t>
        </is>
      </c>
      <c r="L49" s="13" t="n">
        <v>4.141131881851835e-14</v>
      </c>
    </row>
    <row r="50">
      <c r="A50" s="9" t="inlineStr">
        <is>
          <t>SYN_FOODS_1_009_CA_2</t>
        </is>
      </c>
      <c r="B50" s="9" t="inlineStr">
        <is>
          <t>SYN_FOODS_1_009</t>
        </is>
      </c>
      <c r="C50" s="9" t="inlineStr">
        <is>
          <t>CA_2</t>
        </is>
      </c>
      <c r="D50" s="9" t="inlineStr">
        <is>
          <t>FOODS</t>
        </is>
      </c>
      <c r="E50" s="9" t="inlineStr">
        <is>
          <t>SUP-01</t>
        </is>
      </c>
      <c r="F50" s="10" t="n">
        <v>361</v>
      </c>
      <c r="G50" s="10" t="n">
        <v>0</v>
      </c>
      <c r="H50" s="11" t="n">
        <v>5.45</v>
      </c>
      <c r="I50" s="11">
        <f>F50*H50</f>
        <v/>
      </c>
      <c r="J50" s="12">
        <f>'Reorder Points'!T50</f>
        <v/>
      </c>
      <c r="K50" s="9" t="inlineStr">
        <is>
          <t>Low</t>
        </is>
      </c>
      <c r="L50" s="13" t="n">
        <v>0</v>
      </c>
    </row>
    <row r="51">
      <c r="A51" s="9" t="inlineStr">
        <is>
          <t>SYN_FOODS_2_003_CA_2</t>
        </is>
      </c>
      <c r="B51" s="9" t="inlineStr">
        <is>
          <t>SYN_FOODS_2_003</t>
        </is>
      </c>
      <c r="C51" s="9" t="inlineStr">
        <is>
          <t>CA_2</t>
        </is>
      </c>
      <c r="D51" s="9" t="inlineStr">
        <is>
          <t>FOODS</t>
        </is>
      </c>
      <c r="E51" s="9" t="inlineStr">
        <is>
          <t>SUP-02</t>
        </is>
      </c>
      <c r="F51" s="10" t="n">
        <v>60</v>
      </c>
      <c r="G51" s="10" t="n">
        <v>0</v>
      </c>
      <c r="H51" s="11" t="n">
        <v>1.19</v>
      </c>
      <c r="I51" s="11">
        <f>F51*H51</f>
        <v/>
      </c>
      <c r="J51" s="12">
        <f>'Reorder Points'!T51</f>
        <v/>
      </c>
      <c r="K51" s="9" t="inlineStr">
        <is>
          <t>Medium</t>
        </is>
      </c>
      <c r="L51" s="13" t="n">
        <v>0.0015719671270482</v>
      </c>
    </row>
    <row r="52">
      <c r="A52" s="9" t="inlineStr">
        <is>
          <t>SYN_FOODS_2_004_CA_2</t>
        </is>
      </c>
      <c r="B52" s="9" t="inlineStr">
        <is>
          <t>SYN_FOODS_2_004</t>
        </is>
      </c>
      <c r="C52" s="9" t="inlineStr">
        <is>
          <t>CA_2</t>
        </is>
      </c>
      <c r="D52" s="9" t="inlineStr">
        <is>
          <t>FOODS</t>
        </is>
      </c>
      <c r="E52" s="9" t="inlineStr">
        <is>
          <t>SUP-02</t>
        </is>
      </c>
      <c r="F52" s="10" t="n">
        <v>0</v>
      </c>
      <c r="G52" s="10" t="n">
        <v>0</v>
      </c>
      <c r="H52" s="11" t="n">
        <v>2.01</v>
      </c>
      <c r="I52" s="11">
        <f>F52*H52</f>
        <v/>
      </c>
      <c r="J52" s="12">
        <f>'Reorder Points'!T52</f>
        <v/>
      </c>
      <c r="K52" s="9" t="inlineStr">
        <is>
          <t>High</t>
        </is>
      </c>
      <c r="L52" s="13" t="n">
        <v>0.8095817598448436</v>
      </c>
    </row>
    <row r="53">
      <c r="A53" s="9" t="inlineStr">
        <is>
          <t>SYN_FOODS_2_005_CA_2</t>
        </is>
      </c>
      <c r="B53" s="9" t="inlineStr">
        <is>
          <t>SYN_FOODS_2_005</t>
        </is>
      </c>
      <c r="C53" s="9" t="inlineStr">
        <is>
          <t>CA_2</t>
        </is>
      </c>
      <c r="D53" s="9" t="inlineStr">
        <is>
          <t>FOODS</t>
        </is>
      </c>
      <c r="E53" s="9" t="inlineStr">
        <is>
          <t>SUP-02</t>
        </is>
      </c>
      <c r="F53" s="10" t="n">
        <v>40</v>
      </c>
      <c r="G53" s="10" t="n">
        <v>0</v>
      </c>
      <c r="H53" s="11" t="n">
        <v>5.21</v>
      </c>
      <c r="I53" s="11">
        <f>F53*H53</f>
        <v/>
      </c>
      <c r="J53" s="12">
        <f>'Reorder Points'!T53</f>
        <v/>
      </c>
      <c r="K53" s="9" t="inlineStr">
        <is>
          <t>Low</t>
        </is>
      </c>
      <c r="L53" s="13" t="n">
        <v>1.48235865360391e-07</v>
      </c>
    </row>
    <row r="54">
      <c r="A54" s="9" t="inlineStr">
        <is>
          <t>SYN_FOODS_2_009_CA_2</t>
        </is>
      </c>
      <c r="B54" s="9" t="inlineStr">
        <is>
          <t>SYN_FOODS_2_009</t>
        </is>
      </c>
      <c r="C54" s="9" t="inlineStr">
        <is>
          <t>CA_2</t>
        </is>
      </c>
      <c r="D54" s="9" t="inlineStr">
        <is>
          <t>FOODS</t>
        </is>
      </c>
      <c r="E54" s="9" t="inlineStr">
        <is>
          <t>SUP-02</t>
        </is>
      </c>
      <c r="F54" s="10" t="n">
        <v>672</v>
      </c>
      <c r="G54" s="10" t="n">
        <v>0</v>
      </c>
      <c r="H54" s="11" t="n">
        <v>4.18</v>
      </c>
      <c r="I54" s="11">
        <f>F54*H54</f>
        <v/>
      </c>
      <c r="J54" s="12">
        <f>'Reorder Points'!T54</f>
        <v/>
      </c>
      <c r="K54" s="9" t="inlineStr">
        <is>
          <t>Low</t>
        </is>
      </c>
      <c r="L54" s="13" t="n">
        <v>0</v>
      </c>
    </row>
    <row r="55">
      <c r="A55" s="9" t="inlineStr">
        <is>
          <t>SYN_FOODS_3_001_CA_2</t>
        </is>
      </c>
      <c r="B55" s="9" t="inlineStr">
        <is>
          <t>SYN_FOODS_3_001</t>
        </is>
      </c>
      <c r="C55" s="9" t="inlineStr">
        <is>
          <t>CA_2</t>
        </is>
      </c>
      <c r="D55" s="9" t="inlineStr">
        <is>
          <t>FOODS</t>
        </is>
      </c>
      <c r="E55" s="9" t="inlineStr">
        <is>
          <t>SUP-03</t>
        </is>
      </c>
      <c r="F55" s="10" t="n">
        <v>31</v>
      </c>
      <c r="G55" s="10" t="n">
        <v>0</v>
      </c>
      <c r="H55" s="11" t="n">
        <v>0.99</v>
      </c>
      <c r="I55" s="11">
        <f>F55*H55</f>
        <v/>
      </c>
      <c r="J55" s="12">
        <f>'Reorder Points'!T55</f>
        <v/>
      </c>
      <c r="K55" s="9" t="inlineStr">
        <is>
          <t>Low</t>
        </is>
      </c>
      <c r="L55" s="13" t="n">
        <v>0</v>
      </c>
    </row>
    <row r="56">
      <c r="A56" s="9" t="inlineStr">
        <is>
          <t>SYN_FOODS_3_002_CA_2</t>
        </is>
      </c>
      <c r="B56" s="9" t="inlineStr">
        <is>
          <t>SYN_FOODS_3_002</t>
        </is>
      </c>
      <c r="C56" s="9" t="inlineStr">
        <is>
          <t>CA_2</t>
        </is>
      </c>
      <c r="D56" s="9" t="inlineStr">
        <is>
          <t>FOODS</t>
        </is>
      </c>
      <c r="E56" s="9" t="inlineStr">
        <is>
          <t>SUP-03</t>
        </is>
      </c>
      <c r="F56" s="10" t="n">
        <v>90</v>
      </c>
      <c r="G56" s="10" t="n">
        <v>0</v>
      </c>
      <c r="H56" s="11" t="n">
        <v>2.42</v>
      </c>
      <c r="I56" s="11">
        <f>F56*H56</f>
        <v/>
      </c>
      <c r="J56" s="12">
        <f>'Reorder Points'!T56</f>
        <v/>
      </c>
      <c r="K56" s="9" t="inlineStr">
        <is>
          <t>Low</t>
        </is>
      </c>
      <c r="L56" s="13" t="n">
        <v>0</v>
      </c>
    </row>
    <row r="57">
      <c r="A57" s="9" t="inlineStr">
        <is>
          <t>SYN_FOODS_3_003_CA_2</t>
        </is>
      </c>
      <c r="B57" s="9" t="inlineStr">
        <is>
          <t>SYN_FOODS_3_003</t>
        </is>
      </c>
      <c r="C57" s="9" t="inlineStr">
        <is>
          <t>CA_2</t>
        </is>
      </c>
      <c r="D57" s="9" t="inlineStr">
        <is>
          <t>FOODS</t>
        </is>
      </c>
      <c r="E57" s="9" t="inlineStr">
        <is>
          <t>SUP-03</t>
        </is>
      </c>
      <c r="F57" s="10" t="n">
        <v>206</v>
      </c>
      <c r="G57" s="10" t="n">
        <v>0</v>
      </c>
      <c r="H57" s="11" t="n">
        <v>1.27</v>
      </c>
      <c r="I57" s="11">
        <f>F57*H57</f>
        <v/>
      </c>
      <c r="J57" s="12">
        <f>'Reorder Points'!T57</f>
        <v/>
      </c>
      <c r="K57" s="9" t="inlineStr">
        <is>
          <t>Low</t>
        </is>
      </c>
      <c r="L57" s="13" t="n">
        <v>0</v>
      </c>
    </row>
    <row r="58">
      <c r="A58" s="9" t="inlineStr">
        <is>
          <t>SYN_FOODS_3_005_CA_2</t>
        </is>
      </c>
      <c r="B58" s="9" t="inlineStr">
        <is>
          <t>SYN_FOODS_3_005</t>
        </is>
      </c>
      <c r="C58" s="9" t="inlineStr">
        <is>
          <t>CA_2</t>
        </is>
      </c>
      <c r="D58" s="9" t="inlineStr">
        <is>
          <t>FOODS</t>
        </is>
      </c>
      <c r="E58" s="9" t="inlineStr">
        <is>
          <t>SUP-03</t>
        </is>
      </c>
      <c r="F58" s="10" t="n">
        <v>475</v>
      </c>
      <c r="G58" s="10" t="n">
        <v>0</v>
      </c>
      <c r="H58" s="11" t="n">
        <v>1.76</v>
      </c>
      <c r="I58" s="11">
        <f>F58*H58</f>
        <v/>
      </c>
      <c r="J58" s="12">
        <f>'Reorder Points'!T58</f>
        <v/>
      </c>
      <c r="K58" s="9" t="inlineStr">
        <is>
          <t>Low</t>
        </is>
      </c>
      <c r="L58" s="13" t="n">
        <v>0</v>
      </c>
    </row>
    <row r="59">
      <c r="A59" s="9" t="inlineStr">
        <is>
          <t>SYN_FOODS_3_007_CA_2</t>
        </is>
      </c>
      <c r="B59" s="9" t="inlineStr">
        <is>
          <t>SYN_FOODS_3_007</t>
        </is>
      </c>
      <c r="C59" s="9" t="inlineStr">
        <is>
          <t>CA_2</t>
        </is>
      </c>
      <c r="D59" s="9" t="inlineStr">
        <is>
          <t>FOODS</t>
        </is>
      </c>
      <c r="E59" s="9" t="inlineStr">
        <is>
          <t>SUP-03</t>
        </is>
      </c>
      <c r="F59" s="10" t="n">
        <v>397</v>
      </c>
      <c r="G59" s="10" t="n">
        <v>0</v>
      </c>
      <c r="H59" s="11" t="n">
        <v>1.99</v>
      </c>
      <c r="I59" s="11">
        <f>F59*H59</f>
        <v/>
      </c>
      <c r="J59" s="12">
        <f>'Reorder Points'!T59</f>
        <v/>
      </c>
      <c r="K59" s="9" t="inlineStr">
        <is>
          <t>Low</t>
        </is>
      </c>
      <c r="L59" s="13" t="n">
        <v>0</v>
      </c>
    </row>
    <row r="60">
      <c r="A60" s="9" t="inlineStr">
        <is>
          <t>SYN_FOODS_3_008_CA_2</t>
        </is>
      </c>
      <c r="B60" s="9" t="inlineStr">
        <is>
          <t>SYN_FOODS_3_008</t>
        </is>
      </c>
      <c r="C60" s="9" t="inlineStr">
        <is>
          <t>CA_2</t>
        </is>
      </c>
      <c r="D60" s="9" t="inlineStr">
        <is>
          <t>FOODS</t>
        </is>
      </c>
      <c r="E60" s="9" t="inlineStr">
        <is>
          <t>SUP-03</t>
        </is>
      </c>
      <c r="F60" s="10" t="n">
        <v>2</v>
      </c>
      <c r="G60" s="10" t="n">
        <v>0</v>
      </c>
      <c r="H60" s="11" t="n">
        <v>2.92</v>
      </c>
      <c r="I60" s="11">
        <f>F60*H60</f>
        <v/>
      </c>
      <c r="J60" s="12">
        <f>'Reorder Points'!T60</f>
        <v/>
      </c>
      <c r="K60" s="9" t="inlineStr">
        <is>
          <t>Medium</t>
        </is>
      </c>
      <c r="L60" s="13" t="n">
        <v>0.1947441174883178</v>
      </c>
    </row>
    <row r="61">
      <c r="A61" s="9" t="inlineStr">
        <is>
          <t>SYN_HOBBIES_1_001_CA_2</t>
        </is>
      </c>
      <c r="B61" s="9" t="inlineStr">
        <is>
          <t>SYN_HOBBIES_1_001</t>
        </is>
      </c>
      <c r="C61" s="9" t="inlineStr">
        <is>
          <t>CA_2</t>
        </is>
      </c>
      <c r="D61" s="9" t="inlineStr">
        <is>
          <t>HOBBIES</t>
        </is>
      </c>
      <c r="E61" s="9" t="inlineStr">
        <is>
          <t>SUP-04</t>
        </is>
      </c>
      <c r="F61" s="10" t="n">
        <v>10</v>
      </c>
      <c r="G61" s="10" t="n">
        <v>0</v>
      </c>
      <c r="H61" s="11" t="n">
        <v>5.49</v>
      </c>
      <c r="I61" s="11">
        <f>F61*H61</f>
        <v/>
      </c>
      <c r="J61" s="12">
        <f>'Reorder Points'!T61</f>
        <v/>
      </c>
      <c r="K61" s="9" t="inlineStr">
        <is>
          <t>High</t>
        </is>
      </c>
      <c r="L61" s="13" t="n">
        <v>0.8493716360215831</v>
      </c>
    </row>
    <row r="62">
      <c r="A62" s="9" t="inlineStr">
        <is>
          <t>SYN_HOBBIES_1_002_CA_2</t>
        </is>
      </c>
      <c r="B62" s="9" t="inlineStr">
        <is>
          <t>SYN_HOBBIES_1_002</t>
        </is>
      </c>
      <c r="C62" s="9" t="inlineStr">
        <is>
          <t>CA_2</t>
        </is>
      </c>
      <c r="D62" s="9" t="inlineStr">
        <is>
          <t>HOBBIES</t>
        </is>
      </c>
      <c r="E62" s="9" t="inlineStr">
        <is>
          <t>SUP-04</t>
        </is>
      </c>
      <c r="F62" s="10" t="n">
        <v>18</v>
      </c>
      <c r="G62" s="10" t="n">
        <v>0</v>
      </c>
      <c r="H62" s="11" t="n">
        <v>10.47</v>
      </c>
      <c r="I62" s="11">
        <f>F62*H62</f>
        <v/>
      </c>
      <c r="J62" s="12">
        <f>'Reorder Points'!T62</f>
        <v/>
      </c>
      <c r="K62" s="9" t="inlineStr">
        <is>
          <t>Low</t>
        </is>
      </c>
      <c r="L62" s="13" t="n">
        <v>0.0002160228992432</v>
      </c>
    </row>
    <row r="63">
      <c r="A63" s="9" t="inlineStr">
        <is>
          <t>SYN_HOBBIES_1_003_CA_2</t>
        </is>
      </c>
      <c r="B63" s="9" t="inlineStr">
        <is>
          <t>SYN_HOBBIES_1_003</t>
        </is>
      </c>
      <c r="C63" s="9" t="inlineStr">
        <is>
          <t>CA_2</t>
        </is>
      </c>
      <c r="D63" s="9" t="inlineStr">
        <is>
          <t>HOBBIES</t>
        </is>
      </c>
      <c r="E63" s="9" t="inlineStr">
        <is>
          <t>SUP-04</t>
        </is>
      </c>
      <c r="F63" s="10" t="n">
        <v>39</v>
      </c>
      <c r="G63" s="10" t="n">
        <v>0</v>
      </c>
      <c r="H63" s="11" t="n">
        <v>10.92</v>
      </c>
      <c r="I63" s="11">
        <f>F63*H63</f>
        <v/>
      </c>
      <c r="J63" s="12">
        <f>'Reorder Points'!T63</f>
        <v/>
      </c>
      <c r="K63" s="9" t="inlineStr">
        <is>
          <t>Low</t>
        </is>
      </c>
      <c r="L63" s="13" t="n">
        <v>0</v>
      </c>
    </row>
    <row r="64">
      <c r="A64" s="9" t="inlineStr">
        <is>
          <t>SYN_HOBBIES_1_004_CA_2</t>
        </is>
      </c>
      <c r="B64" s="9" t="inlineStr">
        <is>
          <t>SYN_HOBBIES_1_004</t>
        </is>
      </c>
      <c r="C64" s="9" t="inlineStr">
        <is>
          <t>CA_2</t>
        </is>
      </c>
      <c r="D64" s="9" t="inlineStr">
        <is>
          <t>HOBBIES</t>
        </is>
      </c>
      <c r="E64" s="9" t="inlineStr">
        <is>
          <t>SUP-04</t>
        </is>
      </c>
      <c r="F64" s="10" t="n">
        <v>6</v>
      </c>
      <c r="G64" s="10" t="n">
        <v>0</v>
      </c>
      <c r="H64" s="11" t="n">
        <v>6.15</v>
      </c>
      <c r="I64" s="11">
        <f>F64*H64</f>
        <v/>
      </c>
      <c r="J64" s="12">
        <f>'Reorder Points'!T64</f>
        <v/>
      </c>
      <c r="K64" s="9" t="inlineStr">
        <is>
          <t>High</t>
        </is>
      </c>
      <c r="L64" s="13" t="n">
        <v>0.9053904363933484</v>
      </c>
    </row>
    <row r="65">
      <c r="A65" s="9" t="inlineStr">
        <is>
          <t>SYN_HOBBIES_1_005_CA_2</t>
        </is>
      </c>
      <c r="B65" s="9" t="inlineStr">
        <is>
          <t>SYN_HOBBIES_1_005</t>
        </is>
      </c>
      <c r="C65" s="9" t="inlineStr">
        <is>
          <t>CA_2</t>
        </is>
      </c>
      <c r="D65" s="9" t="inlineStr">
        <is>
          <t>HOBBIES</t>
        </is>
      </c>
      <c r="E65" s="9" t="inlineStr">
        <is>
          <t>SUP-04</t>
        </is>
      </c>
      <c r="F65" s="10" t="n">
        <v>11</v>
      </c>
      <c r="G65" s="10" t="n">
        <v>0</v>
      </c>
      <c r="H65" s="11" t="n">
        <v>6.44</v>
      </c>
      <c r="I65" s="11">
        <f>F65*H65</f>
        <v/>
      </c>
      <c r="J65" s="12">
        <f>'Reorder Points'!T65</f>
        <v/>
      </c>
      <c r="K65" s="9" t="inlineStr">
        <is>
          <t>High</t>
        </is>
      </c>
      <c r="L65" s="13" t="n">
        <v>0.6694983968382446</v>
      </c>
    </row>
    <row r="66">
      <c r="A66" s="9" t="inlineStr">
        <is>
          <t>SYN_HOBBIES_1_006_CA_2</t>
        </is>
      </c>
      <c r="B66" s="9" t="inlineStr">
        <is>
          <t>SYN_HOBBIES_1_006</t>
        </is>
      </c>
      <c r="C66" s="9" t="inlineStr">
        <is>
          <t>CA_2</t>
        </is>
      </c>
      <c r="D66" s="9" t="inlineStr">
        <is>
          <t>HOBBIES</t>
        </is>
      </c>
      <c r="E66" s="9" t="inlineStr">
        <is>
          <t>SUP-04</t>
        </is>
      </c>
      <c r="F66" s="10" t="n">
        <v>29</v>
      </c>
      <c r="G66" s="10" t="n">
        <v>0</v>
      </c>
      <c r="H66" s="11" t="n">
        <v>8.199999999999999</v>
      </c>
      <c r="I66" s="11">
        <f>F66*H66</f>
        <v/>
      </c>
      <c r="J66" s="12">
        <f>'Reorder Points'!T66</f>
        <v/>
      </c>
      <c r="K66" s="9" t="inlineStr">
        <is>
          <t>Low</t>
        </is>
      </c>
      <c r="L66" s="13" t="n">
        <v>0.0013637956721439</v>
      </c>
    </row>
    <row r="67">
      <c r="A67" s="9" t="inlineStr">
        <is>
          <t>SYN_HOBBIES_1_008_CA_2</t>
        </is>
      </c>
      <c r="B67" s="9" t="inlineStr">
        <is>
          <t>SYN_HOBBIES_1_008</t>
        </is>
      </c>
      <c r="C67" s="9" t="inlineStr">
        <is>
          <t>CA_2</t>
        </is>
      </c>
      <c r="D67" s="9" t="inlineStr">
        <is>
          <t>HOBBIES</t>
        </is>
      </c>
      <c r="E67" s="9" t="inlineStr">
        <is>
          <t>SUP-04</t>
        </is>
      </c>
      <c r="F67" s="10" t="n">
        <v>29</v>
      </c>
      <c r="G67" s="10" t="n">
        <v>0</v>
      </c>
      <c r="H67" s="11" t="n">
        <v>10.06</v>
      </c>
      <c r="I67" s="11">
        <f>F67*H67</f>
        <v/>
      </c>
      <c r="J67" s="12">
        <f>'Reorder Points'!T67</f>
        <v/>
      </c>
      <c r="K67" s="9" t="inlineStr">
        <is>
          <t>Low</t>
        </is>
      </c>
      <c r="L67" s="13" t="n">
        <v>0.0002081242365788</v>
      </c>
    </row>
    <row r="68">
      <c r="A68" s="9" t="inlineStr">
        <is>
          <t>SYN_HOBBIES_1_009_CA_2</t>
        </is>
      </c>
      <c r="B68" s="9" t="inlineStr">
        <is>
          <t>SYN_HOBBIES_1_009</t>
        </is>
      </c>
      <c r="C68" s="9" t="inlineStr">
        <is>
          <t>CA_2</t>
        </is>
      </c>
      <c r="D68" s="9" t="inlineStr">
        <is>
          <t>HOBBIES</t>
        </is>
      </c>
      <c r="E68" s="9" t="inlineStr">
        <is>
          <t>SUP-04</t>
        </is>
      </c>
      <c r="F68" s="10" t="n">
        <v>80</v>
      </c>
      <c r="G68" s="10" t="n">
        <v>0</v>
      </c>
      <c r="H68" s="11" t="n">
        <v>6.38</v>
      </c>
      <c r="I68" s="11">
        <f>F68*H68</f>
        <v/>
      </c>
      <c r="J68" s="12">
        <f>'Reorder Points'!T68</f>
        <v/>
      </c>
      <c r="K68" s="9" t="inlineStr">
        <is>
          <t>Medium</t>
        </is>
      </c>
      <c r="L68" s="13" t="n">
        <v>0.0033338411932909</v>
      </c>
    </row>
    <row r="69">
      <c r="A69" s="9" t="inlineStr">
        <is>
          <t>SYN_HOBBIES_2_001_CA_2</t>
        </is>
      </c>
      <c r="B69" s="9" t="inlineStr">
        <is>
          <t>SYN_HOBBIES_2_001</t>
        </is>
      </c>
      <c r="C69" s="9" t="inlineStr">
        <is>
          <t>CA_2</t>
        </is>
      </c>
      <c r="D69" s="9" t="inlineStr">
        <is>
          <t>HOBBIES</t>
        </is>
      </c>
      <c r="E69" s="9" t="inlineStr">
        <is>
          <t>SUP-04</t>
        </is>
      </c>
      <c r="F69" s="10" t="n">
        <v>76</v>
      </c>
      <c r="G69" s="10" t="n">
        <v>0</v>
      </c>
      <c r="H69" s="11" t="n">
        <v>8.15</v>
      </c>
      <c r="I69" s="11">
        <f>F69*H69</f>
        <v/>
      </c>
      <c r="J69" s="12">
        <f>'Reorder Points'!T69</f>
        <v/>
      </c>
      <c r="K69" s="9" t="inlineStr">
        <is>
          <t>Medium</t>
        </is>
      </c>
      <c r="L69" s="13" t="n">
        <v>0.2429216966114741</v>
      </c>
    </row>
    <row r="70">
      <c r="A70" s="9" t="inlineStr">
        <is>
          <t>SYN_HOBBIES_2_004_CA_2</t>
        </is>
      </c>
      <c r="B70" s="9" t="inlineStr">
        <is>
          <t>SYN_HOBBIES_2_004</t>
        </is>
      </c>
      <c r="C70" s="9" t="inlineStr">
        <is>
          <t>CA_2</t>
        </is>
      </c>
      <c r="D70" s="9" t="inlineStr">
        <is>
          <t>HOBBIES</t>
        </is>
      </c>
      <c r="E70" s="9" t="inlineStr">
        <is>
          <t>SUP-04</t>
        </is>
      </c>
      <c r="F70" s="10" t="n">
        <v>350</v>
      </c>
      <c r="G70" s="10" t="n">
        <v>0</v>
      </c>
      <c r="H70" s="11" t="n">
        <v>2.49</v>
      </c>
      <c r="I70" s="11">
        <f>F70*H70</f>
        <v/>
      </c>
      <c r="J70" s="12">
        <f>'Reorder Points'!T70</f>
        <v/>
      </c>
      <c r="K70" s="9" t="inlineStr">
        <is>
          <t>Medium</t>
        </is>
      </c>
      <c r="L70" s="13" t="n">
        <v>0.0188507342483559</v>
      </c>
    </row>
    <row r="71">
      <c r="A71" s="9" t="inlineStr">
        <is>
          <t>SYN_HOBBIES_2_006_CA_2</t>
        </is>
      </c>
      <c r="B71" s="9" t="inlineStr">
        <is>
          <t>SYN_HOBBIES_2_006</t>
        </is>
      </c>
      <c r="C71" s="9" t="inlineStr">
        <is>
          <t>CA_2</t>
        </is>
      </c>
      <c r="D71" s="9" t="inlineStr">
        <is>
          <t>HOBBIES</t>
        </is>
      </c>
      <c r="E71" s="9" t="inlineStr">
        <is>
          <t>SUP-04</t>
        </is>
      </c>
      <c r="F71" s="10" t="n">
        <v>232</v>
      </c>
      <c r="G71" s="10" t="n">
        <v>192</v>
      </c>
      <c r="H71" s="11" t="n">
        <v>7.81</v>
      </c>
      <c r="I71" s="11">
        <f>F71*H71</f>
        <v/>
      </c>
      <c r="J71" s="12">
        <f>'Reorder Points'!T71</f>
        <v/>
      </c>
      <c r="K71" s="9" t="inlineStr">
        <is>
          <t>Low</t>
        </is>
      </c>
      <c r="L71" s="13" t="n">
        <v>9.305617387767027e-10</v>
      </c>
    </row>
    <row r="72">
      <c r="A72" s="9" t="inlineStr">
        <is>
          <t>SYN_HOBBIES_2_009_CA_2</t>
        </is>
      </c>
      <c r="B72" s="9" t="inlineStr">
        <is>
          <t>SYN_HOBBIES_2_009</t>
        </is>
      </c>
      <c r="C72" s="9" t="inlineStr">
        <is>
          <t>CA_2</t>
        </is>
      </c>
      <c r="D72" s="9" t="inlineStr">
        <is>
          <t>HOBBIES</t>
        </is>
      </c>
      <c r="E72" s="9" t="inlineStr">
        <is>
          <t>SUP-04</t>
        </is>
      </c>
      <c r="F72" s="10" t="n">
        <v>371</v>
      </c>
      <c r="G72" s="10" t="n">
        <v>528</v>
      </c>
      <c r="H72" s="11" t="n">
        <v>8.869999999999999</v>
      </c>
      <c r="I72" s="11">
        <f>F72*H72</f>
        <v/>
      </c>
      <c r="J72" s="12">
        <f>'Reorder Points'!T72</f>
        <v/>
      </c>
      <c r="K72" s="9" t="inlineStr">
        <is>
          <t>Low</t>
        </is>
      </c>
      <c r="L72" s="13" t="n">
        <v>2.463322685830605e-07</v>
      </c>
    </row>
    <row r="73">
      <c r="A73" s="9" t="inlineStr">
        <is>
          <t>SYN_HOUSEHOLD_1_002_CA_2</t>
        </is>
      </c>
      <c r="B73" s="9" t="inlineStr">
        <is>
          <t>SYN_HOUSEHOLD_1_002</t>
        </is>
      </c>
      <c r="C73" s="9" t="inlineStr">
        <is>
          <t>CA_2</t>
        </is>
      </c>
      <c r="D73" s="9" t="inlineStr">
        <is>
          <t>HOUSEHOLD</t>
        </is>
      </c>
      <c r="E73" s="9" t="inlineStr">
        <is>
          <t>SUP-05</t>
        </is>
      </c>
      <c r="F73" s="10" t="n">
        <v>472</v>
      </c>
      <c r="G73" s="10" t="n">
        <v>0</v>
      </c>
      <c r="H73" s="11" t="n">
        <v>3.16</v>
      </c>
      <c r="I73" s="11">
        <f>F73*H73</f>
        <v/>
      </c>
      <c r="J73" s="12">
        <f>'Reorder Points'!T73</f>
        <v/>
      </c>
      <c r="K73" s="9" t="inlineStr">
        <is>
          <t>Low</t>
        </is>
      </c>
      <c r="L73" s="13" t="n">
        <v>7.823053316258209e-11</v>
      </c>
    </row>
    <row r="74">
      <c r="A74" s="9" t="inlineStr">
        <is>
          <t>SYN_HOUSEHOLD_1_004_CA_2</t>
        </is>
      </c>
      <c r="B74" s="9" t="inlineStr">
        <is>
          <t>SYN_HOUSEHOLD_1_004</t>
        </is>
      </c>
      <c r="C74" s="9" t="inlineStr">
        <is>
          <t>CA_2</t>
        </is>
      </c>
      <c r="D74" s="9" t="inlineStr">
        <is>
          <t>HOUSEHOLD</t>
        </is>
      </c>
      <c r="E74" s="9" t="inlineStr">
        <is>
          <t>SUP-05</t>
        </is>
      </c>
      <c r="F74" s="10" t="n">
        <v>14</v>
      </c>
      <c r="G74" s="10" t="n">
        <v>34</v>
      </c>
      <c r="H74" s="11" t="n">
        <v>6.89</v>
      </c>
      <c r="I74" s="11">
        <f>F74*H74</f>
        <v/>
      </c>
      <c r="J74" s="12">
        <f>'Reorder Points'!T74</f>
        <v/>
      </c>
      <c r="K74" s="9" t="inlineStr">
        <is>
          <t>Low</t>
        </is>
      </c>
      <c r="L74" s="13" t="n">
        <v>0</v>
      </c>
    </row>
    <row r="75">
      <c r="A75" s="9" t="inlineStr">
        <is>
          <t>SYN_HOUSEHOLD_1_006_CA_2</t>
        </is>
      </c>
      <c r="B75" s="9" t="inlineStr">
        <is>
          <t>SYN_HOUSEHOLD_1_006</t>
        </is>
      </c>
      <c r="C75" s="9" t="inlineStr">
        <is>
          <t>CA_2</t>
        </is>
      </c>
      <c r="D75" s="9" t="inlineStr">
        <is>
          <t>HOUSEHOLD</t>
        </is>
      </c>
      <c r="E75" s="9" t="inlineStr">
        <is>
          <t>SUP-05</t>
        </is>
      </c>
      <c r="F75" s="10" t="n">
        <v>10</v>
      </c>
      <c r="G75" s="10" t="n">
        <v>0</v>
      </c>
      <c r="H75" s="11" t="n">
        <v>4.85</v>
      </c>
      <c r="I75" s="11">
        <f>F75*H75</f>
        <v/>
      </c>
      <c r="J75" s="12">
        <f>'Reorder Points'!T75</f>
        <v/>
      </c>
      <c r="K75" s="9" t="inlineStr">
        <is>
          <t>Low</t>
        </is>
      </c>
      <c r="L75" s="13" t="n">
        <v>7.063290119457832e-08</v>
      </c>
    </row>
    <row r="76">
      <c r="A76" s="9" t="inlineStr">
        <is>
          <t>SYN_HOUSEHOLD_1_008_CA_2</t>
        </is>
      </c>
      <c r="B76" s="9" t="inlineStr">
        <is>
          <t>SYN_HOUSEHOLD_1_008</t>
        </is>
      </c>
      <c r="C76" s="9" t="inlineStr">
        <is>
          <t>CA_2</t>
        </is>
      </c>
      <c r="D76" s="9" t="inlineStr">
        <is>
          <t>HOUSEHOLD</t>
        </is>
      </c>
      <c r="E76" s="9" t="inlineStr">
        <is>
          <t>SUP-05</t>
        </is>
      </c>
      <c r="F76" s="10" t="n">
        <v>176</v>
      </c>
      <c r="G76" s="10" t="n">
        <v>0</v>
      </c>
      <c r="H76" s="11" t="n">
        <v>2.17</v>
      </c>
      <c r="I76" s="11">
        <f>F76*H76</f>
        <v/>
      </c>
      <c r="J76" s="12">
        <f>'Reorder Points'!T76</f>
        <v/>
      </c>
      <c r="K76" s="9" t="inlineStr">
        <is>
          <t>Medium</t>
        </is>
      </c>
      <c r="L76" s="13" t="n">
        <v>0.009458105487450999</v>
      </c>
    </row>
    <row r="77">
      <c r="A77" s="9" t="inlineStr">
        <is>
          <t>SYN_HOUSEHOLD_1_009_CA_2</t>
        </is>
      </c>
      <c r="B77" s="9" t="inlineStr">
        <is>
          <t>SYN_HOUSEHOLD_1_009</t>
        </is>
      </c>
      <c r="C77" s="9" t="inlineStr">
        <is>
          <t>CA_2</t>
        </is>
      </c>
      <c r="D77" s="9" t="inlineStr">
        <is>
          <t>HOUSEHOLD</t>
        </is>
      </c>
      <c r="E77" s="9" t="inlineStr">
        <is>
          <t>SUP-05</t>
        </is>
      </c>
      <c r="F77" s="10" t="n">
        <v>244</v>
      </c>
      <c r="G77" s="10" t="n">
        <v>0</v>
      </c>
      <c r="H77" s="11" t="n">
        <v>11.99</v>
      </c>
      <c r="I77" s="11">
        <f>F77*H77</f>
        <v/>
      </c>
      <c r="J77" s="12">
        <f>'Reorder Points'!T77</f>
        <v/>
      </c>
      <c r="K77" s="9" t="inlineStr">
        <is>
          <t>Low</t>
        </is>
      </c>
      <c r="L77" s="13" t="n">
        <v>9.036993375843849e-12</v>
      </c>
    </row>
    <row r="78">
      <c r="A78" s="9" t="inlineStr">
        <is>
          <t>SYN_HOUSEHOLD_2_001_CA_2</t>
        </is>
      </c>
      <c r="B78" s="9" t="inlineStr">
        <is>
          <t>SYN_HOUSEHOLD_2_001</t>
        </is>
      </c>
      <c r="C78" s="9" t="inlineStr">
        <is>
          <t>CA_2</t>
        </is>
      </c>
      <c r="D78" s="9" t="inlineStr">
        <is>
          <t>HOUSEHOLD</t>
        </is>
      </c>
      <c r="E78" s="9" t="inlineStr">
        <is>
          <t>SUP-06</t>
        </is>
      </c>
      <c r="F78" s="10" t="n">
        <v>259</v>
      </c>
      <c r="G78" s="10" t="n">
        <v>0</v>
      </c>
      <c r="H78" s="11" t="n">
        <v>9.81</v>
      </c>
      <c r="I78" s="11">
        <f>F78*H78</f>
        <v/>
      </c>
      <c r="J78" s="12">
        <f>'Reorder Points'!T78</f>
        <v/>
      </c>
      <c r="K78" s="9" t="inlineStr">
        <is>
          <t>Medium</t>
        </is>
      </c>
      <c r="L78" s="13" t="n">
        <v>0.003487237699333</v>
      </c>
    </row>
    <row r="79">
      <c r="A79" s="9" t="inlineStr">
        <is>
          <t>SYN_HOUSEHOLD_2_002_CA_2</t>
        </is>
      </c>
      <c r="B79" s="9" t="inlineStr">
        <is>
          <t>SYN_HOUSEHOLD_2_002</t>
        </is>
      </c>
      <c r="C79" s="9" t="inlineStr">
        <is>
          <t>CA_2</t>
        </is>
      </c>
      <c r="D79" s="9" t="inlineStr">
        <is>
          <t>HOUSEHOLD</t>
        </is>
      </c>
      <c r="E79" s="9" t="inlineStr">
        <is>
          <t>SUP-06</t>
        </is>
      </c>
      <c r="F79" s="10" t="n">
        <v>16</v>
      </c>
      <c r="G79" s="10" t="n">
        <v>0</v>
      </c>
      <c r="H79" s="11" t="n">
        <v>7.1</v>
      </c>
      <c r="I79" s="11">
        <f>F79*H79</f>
        <v/>
      </c>
      <c r="J79" s="12">
        <f>'Reorder Points'!T79</f>
        <v/>
      </c>
      <c r="K79" s="9" t="inlineStr">
        <is>
          <t>Medium</t>
        </is>
      </c>
      <c r="L79" s="13" t="n">
        <v>0.0077694316124268</v>
      </c>
    </row>
    <row r="80">
      <c r="A80" s="9" t="inlineStr">
        <is>
          <t>SYN_HOUSEHOLD_2_003_CA_2</t>
        </is>
      </c>
      <c r="B80" s="9" t="inlineStr">
        <is>
          <t>SYN_HOUSEHOLD_2_003</t>
        </is>
      </c>
      <c r="C80" s="9" t="inlineStr">
        <is>
          <t>CA_2</t>
        </is>
      </c>
      <c r="D80" s="9" t="inlineStr">
        <is>
          <t>HOUSEHOLD</t>
        </is>
      </c>
      <c r="E80" s="9" t="inlineStr">
        <is>
          <t>SUP-06</t>
        </is>
      </c>
      <c r="F80" s="10" t="n">
        <v>72</v>
      </c>
      <c r="G80" s="10" t="n">
        <v>0</v>
      </c>
      <c r="H80" s="11" t="n">
        <v>9.94</v>
      </c>
      <c r="I80" s="11">
        <f>F80*H80</f>
        <v/>
      </c>
      <c r="J80" s="12">
        <f>'Reorder Points'!T80</f>
        <v/>
      </c>
      <c r="K80" s="9" t="inlineStr">
        <is>
          <t>Medium</t>
        </is>
      </c>
      <c r="L80" s="13" t="n">
        <v>0.0300325587627182</v>
      </c>
    </row>
    <row r="81">
      <c r="A81" s="9" t="inlineStr">
        <is>
          <t>SYN_HOUSEHOLD_2_004_CA_2</t>
        </is>
      </c>
      <c r="B81" s="9" t="inlineStr">
        <is>
          <t>SYN_HOUSEHOLD_2_004</t>
        </is>
      </c>
      <c r="C81" s="9" t="inlineStr">
        <is>
          <t>CA_2</t>
        </is>
      </c>
      <c r="D81" s="9" t="inlineStr">
        <is>
          <t>HOUSEHOLD</t>
        </is>
      </c>
      <c r="E81" s="9" t="inlineStr">
        <is>
          <t>SUP-06</t>
        </is>
      </c>
      <c r="F81" s="10" t="n">
        <v>495</v>
      </c>
      <c r="G81" s="10" t="n">
        <v>0</v>
      </c>
      <c r="H81" s="11" t="n">
        <v>6.05</v>
      </c>
      <c r="I81" s="11">
        <f>F81*H81</f>
        <v/>
      </c>
      <c r="J81" s="12">
        <f>'Reorder Points'!T81</f>
        <v/>
      </c>
      <c r="K81" s="9" t="inlineStr">
        <is>
          <t>Medium</t>
        </is>
      </c>
      <c r="L81" s="13" t="n">
        <v>0.0004592573816101</v>
      </c>
    </row>
    <row r="82">
      <c r="A82" s="9" t="inlineStr">
        <is>
          <t>SYN_HOUSEHOLD_2_005_CA_2</t>
        </is>
      </c>
      <c r="B82" s="9" t="inlineStr">
        <is>
          <t>SYN_HOUSEHOLD_2_005</t>
        </is>
      </c>
      <c r="C82" s="9" t="inlineStr">
        <is>
          <t>CA_2</t>
        </is>
      </c>
      <c r="D82" s="9" t="inlineStr">
        <is>
          <t>HOUSEHOLD</t>
        </is>
      </c>
      <c r="E82" s="9" t="inlineStr">
        <is>
          <t>SUP-06</t>
        </is>
      </c>
      <c r="F82" s="10" t="n">
        <v>28</v>
      </c>
      <c r="G82" s="10" t="n">
        <v>0</v>
      </c>
      <c r="H82" s="11" t="n">
        <v>12.02</v>
      </c>
      <c r="I82" s="11">
        <f>F82*H82</f>
        <v/>
      </c>
      <c r="J82" s="12">
        <f>'Reorder Points'!T82</f>
        <v/>
      </c>
      <c r="K82" s="9" t="inlineStr">
        <is>
          <t>Low</t>
        </is>
      </c>
      <c r="L82" s="13" t="n">
        <v>8.135395270492118e-05</v>
      </c>
    </row>
    <row r="83">
      <c r="A83" s="9" t="inlineStr">
        <is>
          <t>SYN_HOUSEHOLD_2_006_CA_2</t>
        </is>
      </c>
      <c r="B83" s="9" t="inlineStr">
        <is>
          <t>SYN_HOUSEHOLD_2_006</t>
        </is>
      </c>
      <c r="C83" s="9" t="inlineStr">
        <is>
          <t>CA_2</t>
        </is>
      </c>
      <c r="D83" s="9" t="inlineStr">
        <is>
          <t>HOUSEHOLD</t>
        </is>
      </c>
      <c r="E83" s="9" t="inlineStr">
        <is>
          <t>SUP-06</t>
        </is>
      </c>
      <c r="F83" s="10" t="n">
        <v>262</v>
      </c>
      <c r="G83" s="10" t="n">
        <v>0</v>
      </c>
      <c r="H83" s="11" t="n">
        <v>8.199999999999999</v>
      </c>
      <c r="I83" s="11">
        <f>F83*H83</f>
        <v/>
      </c>
      <c r="J83" s="12">
        <f>'Reorder Points'!T83</f>
        <v/>
      </c>
      <c r="K83" s="9" t="inlineStr">
        <is>
          <t>Low</t>
        </is>
      </c>
      <c r="L83" s="13" t="n">
        <v>1.422964790442904e-08</v>
      </c>
    </row>
    <row r="84">
      <c r="A84" s="9" t="inlineStr">
        <is>
          <t>SYN_HOUSEHOLD_2_008_CA_2</t>
        </is>
      </c>
      <c r="B84" s="9" t="inlineStr">
        <is>
          <t>SYN_HOUSEHOLD_2_008</t>
        </is>
      </c>
      <c r="C84" s="9" t="inlineStr">
        <is>
          <t>CA_2</t>
        </is>
      </c>
      <c r="D84" s="9" t="inlineStr">
        <is>
          <t>HOUSEHOLD</t>
        </is>
      </c>
      <c r="E84" s="9" t="inlineStr">
        <is>
          <t>SUP-06</t>
        </is>
      </c>
      <c r="F84" s="10" t="n">
        <v>14</v>
      </c>
      <c r="G84" s="10" t="n">
        <v>120</v>
      </c>
      <c r="H84" s="11" t="n">
        <v>2.62</v>
      </c>
      <c r="I84" s="11">
        <f>F84*H84</f>
        <v/>
      </c>
      <c r="J84" s="12">
        <f>'Reorder Points'!T84</f>
        <v/>
      </c>
      <c r="K84" s="9" t="inlineStr">
        <is>
          <t>Low</t>
        </is>
      </c>
      <c r="L84" s="13" t="n">
        <v>2.085948302976703e-09</v>
      </c>
    </row>
  </sheetData>
  <autoFilter ref="A4:L8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17E83"/>
    <outlinePr summaryBelow="1" summaryRight="1"/>
    <pageSetUpPr/>
  </sheetPr>
  <dimension ref="A1:Q8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7" customWidth="1" min="3" max="3"/>
    <col width="11" customWidth="1" min="4" max="4"/>
    <col width="14" customWidth="1" min="5" max="5"/>
    <col width="10" customWidth="1" min="6" max="6"/>
    <col width="13" customWidth="1" min="7" max="7"/>
    <col width="6" customWidth="1" min="8" max="8"/>
    <col width="10" customWidth="1" min="9" max="9"/>
    <col width="6" customWidth="1" min="10" max="10"/>
    <col width="7" customWidth="1" min="11" max="11"/>
    <col width="9" customWidth="1" min="12" max="12"/>
  </cols>
  <sheetData>
    <row r="1">
      <c r="A1" s="1" t="inlineStr">
        <is>
          <t>ABC (value) and XYZ (variability) segmentation (DERIVED)</t>
        </is>
      </c>
    </row>
    <row r="2">
      <c r="A2" s="2" t="inlineStr">
        <is>
          <t>Last 364 observed days. A &lt;80% cumulative value, B &lt;95%, C remainder. X CV&lt;=0.5, Y&lt;=1.0, Z &gt;1.0 (weekly CV).</t>
        </is>
      </c>
    </row>
    <row r="4" ht="32" customHeight="1">
      <c r="A4" s="5" t="inlineStr">
        <is>
          <t>Series</t>
        </is>
      </c>
      <c r="B4" s="5" t="inlineStr">
        <is>
          <t>Category</t>
        </is>
      </c>
      <c r="C4" s="5" t="inlineStr">
        <is>
          <t>Store</t>
        </is>
      </c>
      <c r="D4" s="5" t="inlineStr">
        <is>
          <t>Units (364d)</t>
        </is>
      </c>
      <c r="E4" s="5" t="inlineStr">
        <is>
          <t>Sales value (364d)</t>
        </is>
      </c>
      <c r="F4" s="5" t="inlineStr">
        <is>
          <t>Value share</t>
        </is>
      </c>
      <c r="G4" s="5" t="inlineStr">
        <is>
          <t>Cumulative share before item</t>
        </is>
      </c>
      <c r="H4" s="5" t="inlineStr">
        <is>
          <t>ABC</t>
        </is>
      </c>
      <c r="I4" s="5" t="inlineStr">
        <is>
          <t>Weekly CV</t>
        </is>
      </c>
      <c r="J4" s="5" t="inlineStr">
        <is>
          <t>XYZ</t>
        </is>
      </c>
      <c r="K4" s="5" t="inlineStr">
        <is>
          <t>Class</t>
        </is>
      </c>
      <c r="L4" s="5" t="inlineStr">
        <is>
          <t>Python class</t>
        </is>
      </c>
      <c r="N4" s="3" t="inlineStr">
        <is>
          <t>Lines by class</t>
        </is>
      </c>
    </row>
    <row r="5">
      <c r="A5" s="9" t="inlineStr">
        <is>
          <t>SYN_HOBBIES_2_006_CA_1</t>
        </is>
      </c>
      <c r="B5" s="9" t="inlineStr">
        <is>
          <t>HOBBIES</t>
        </is>
      </c>
      <c r="C5" s="9" t="inlineStr">
        <is>
          <t>CA_1</t>
        </is>
      </c>
      <c r="D5" s="10" t="n">
        <v>10163</v>
      </c>
      <c r="E5" s="11" t="n">
        <v>135819.6125001907</v>
      </c>
      <c r="F5" s="16">
        <f>E5/SUM($E$5:$E$84)</f>
        <v/>
      </c>
      <c r="G5" s="13">
        <f>SUM($E$5:E5)/SUM($E$5:$E$84)-F5</f>
        <v/>
      </c>
      <c r="H5" s="9">
        <f>IF(E5&lt;=0,"C",IF(G5&lt;0.8,"A",IF(G5&lt;0.95,"B","C")))</f>
        <v/>
      </c>
      <c r="I5" s="17" t="n">
        <v>0.0796111706603192</v>
      </c>
      <c r="J5" s="9">
        <f>IF(ISNUMBER(I5),IF(I5&lt;=0.5,"X",IF(I5&lt;=1,"Y","Z")),"Z")</f>
        <v/>
      </c>
      <c r="K5" s="9">
        <f>H5&amp;J5</f>
        <v/>
      </c>
      <c r="L5" s="9" t="inlineStr">
        <is>
          <t>AX</t>
        </is>
      </c>
      <c r="O5" s="14" t="inlineStr">
        <is>
          <t>X</t>
        </is>
      </c>
      <c r="P5" s="14" t="inlineStr">
        <is>
          <t>Y</t>
        </is>
      </c>
      <c r="Q5" s="14" t="inlineStr">
        <is>
          <t>Z</t>
        </is>
      </c>
    </row>
    <row r="6">
      <c r="A6" s="9" t="inlineStr">
        <is>
          <t>SYN_HOBBIES_2_009_CA_2</t>
        </is>
      </c>
      <c r="B6" s="9" t="inlineStr">
        <is>
          <t>HOBBIES</t>
        </is>
      </c>
      <c r="C6" s="9" t="inlineStr">
        <is>
          <t>CA_2</t>
        </is>
      </c>
      <c r="D6" s="10" t="n">
        <v>8677</v>
      </c>
      <c r="E6" s="11" t="n">
        <v>129957.1092967987</v>
      </c>
      <c r="F6" s="16">
        <f>E6/SUM($E$5:$E$84)</f>
        <v/>
      </c>
      <c r="G6" s="13">
        <f>SUM($E$5:E6)/SUM($E$5:$E$84)-F6</f>
        <v/>
      </c>
      <c r="H6" s="9">
        <f>IF(E6&lt;=0,"C",IF(G6&lt;0.8,"A",IF(G6&lt;0.95,"B","C")))</f>
        <v/>
      </c>
      <c r="I6" s="17" t="n">
        <v>0.1102413737245804</v>
      </c>
      <c r="J6" s="9">
        <f>IF(ISNUMBER(I6),IF(I6&lt;=0.5,"X",IF(I6&lt;=1,"Y","Z")),"Z")</f>
        <v/>
      </c>
      <c r="K6" s="9">
        <f>H6&amp;J6</f>
        <v/>
      </c>
      <c r="L6" s="9" t="inlineStr">
        <is>
          <t>AX</t>
        </is>
      </c>
      <c r="N6" s="14" t="inlineStr">
        <is>
          <t>A</t>
        </is>
      </c>
      <c r="O6">
        <f>COUNTIFS($H$5:$H$84,"A",$J$5:$J$84,"X")</f>
        <v/>
      </c>
      <c r="P6">
        <f>COUNTIFS($H$5:$H$84,"A",$J$5:$J$84,"Y")</f>
        <v/>
      </c>
      <c r="Q6">
        <f>COUNTIFS($H$5:$H$84,"A",$J$5:$J$84,"Z")</f>
        <v/>
      </c>
    </row>
    <row r="7">
      <c r="A7" s="9" t="inlineStr">
        <is>
          <t>SYN_HOUSEHOLD_2_001_CA_1</t>
        </is>
      </c>
      <c r="B7" s="9" t="inlineStr">
        <is>
          <t>HOUSEHOLD</t>
        </is>
      </c>
      <c r="C7" s="9" t="inlineStr">
        <is>
          <t>CA_1</t>
        </is>
      </c>
      <c r="D7" s="10" t="n">
        <v>8113</v>
      </c>
      <c r="E7" s="11" t="n">
        <v>127905.7393684387</v>
      </c>
      <c r="F7" s="16">
        <f>E7/SUM($E$5:$E$84)</f>
        <v/>
      </c>
      <c r="G7" s="13">
        <f>SUM($E$5:E7)/SUM($E$5:$E$84)-F7</f>
        <v/>
      </c>
      <c r="H7" s="9">
        <f>IF(E7&lt;=0,"C",IF(G7&lt;0.8,"A",IF(G7&lt;0.95,"B","C")))</f>
        <v/>
      </c>
      <c r="I7" s="17" t="n">
        <v>0.0836124872316918</v>
      </c>
      <c r="J7" s="9">
        <f>IF(ISNUMBER(I7),IF(I7&lt;=0.5,"X",IF(I7&lt;=1,"Y","Z")),"Z")</f>
        <v/>
      </c>
      <c r="K7" s="9">
        <f>H7&amp;J7</f>
        <v/>
      </c>
      <c r="L7" s="9" t="inlineStr">
        <is>
          <t>AX</t>
        </is>
      </c>
      <c r="N7" s="14" t="inlineStr">
        <is>
          <t>B</t>
        </is>
      </c>
      <c r="O7">
        <f>COUNTIFS($H$5:$H$84,"B",$J$5:$J$84,"X")</f>
        <v/>
      </c>
      <c r="P7">
        <f>COUNTIFS($H$5:$H$84,"B",$J$5:$J$84,"Y")</f>
        <v/>
      </c>
      <c r="Q7">
        <f>COUNTIFS($H$5:$H$84,"B",$J$5:$J$84,"Z")</f>
        <v/>
      </c>
    </row>
    <row r="8">
      <c r="A8" s="9" t="inlineStr">
        <is>
          <t>SYN_HOUSEHOLD_1_009_CA_1</t>
        </is>
      </c>
      <c r="B8" s="9" t="inlineStr">
        <is>
          <t>HOUSEHOLD</t>
        </is>
      </c>
      <c r="C8" s="9" t="inlineStr">
        <is>
          <t>CA_1</t>
        </is>
      </c>
      <c r="D8" s="10" t="n">
        <v>5042</v>
      </c>
      <c r="E8" s="11" t="n">
        <v>96053.29081249236</v>
      </c>
      <c r="F8" s="16">
        <f>E8/SUM($E$5:$E$84)</f>
        <v/>
      </c>
      <c r="G8" s="13">
        <f>SUM($E$5:E8)/SUM($E$5:$E$84)-F8</f>
        <v/>
      </c>
      <c r="H8" s="9">
        <f>IF(E8&lt;=0,"C",IF(G8&lt;0.8,"A",IF(G8&lt;0.95,"B","C")))</f>
        <v/>
      </c>
      <c r="I8" s="17" t="n">
        <v>0.1287809128957737</v>
      </c>
      <c r="J8" s="9">
        <f>IF(ISNUMBER(I8),IF(I8&lt;=0.5,"X",IF(I8&lt;=1,"Y","Z")),"Z")</f>
        <v/>
      </c>
      <c r="K8" s="9">
        <f>H8&amp;J8</f>
        <v/>
      </c>
      <c r="L8" s="9" t="inlineStr">
        <is>
          <t>AX</t>
        </is>
      </c>
      <c r="N8" s="14" t="inlineStr">
        <is>
          <t>C</t>
        </is>
      </c>
      <c r="O8">
        <f>COUNTIFS($H$5:$H$84,"C",$J$5:$J$84,"X")</f>
        <v/>
      </c>
      <c r="P8">
        <f>COUNTIFS($H$5:$H$84,"C",$J$5:$J$84,"Y")</f>
        <v/>
      </c>
      <c r="Q8">
        <f>COUNTIFS($H$5:$H$84,"C",$J$5:$J$84,"Z")</f>
        <v/>
      </c>
    </row>
    <row r="9">
      <c r="A9" s="9" t="inlineStr">
        <is>
          <t>SYN_HOUSEHOLD_2_004_CA_2</t>
        </is>
      </c>
      <c r="B9" s="9" t="inlineStr">
        <is>
          <t>HOUSEHOLD</t>
        </is>
      </c>
      <c r="C9" s="9" t="inlineStr">
        <is>
          <t>CA_2</t>
        </is>
      </c>
      <c r="D9" s="10" t="n">
        <v>8365</v>
      </c>
      <c r="E9" s="11" t="n">
        <v>80398.30173206329</v>
      </c>
      <c r="F9" s="16">
        <f>E9/SUM($E$5:$E$84)</f>
        <v/>
      </c>
      <c r="G9" s="13">
        <f>SUM($E$5:E9)/SUM($E$5:$E$84)-F9</f>
        <v/>
      </c>
      <c r="H9" s="9">
        <f>IF(E9&lt;=0,"C",IF(G9&lt;0.8,"A",IF(G9&lt;0.95,"B","C")))</f>
        <v/>
      </c>
      <c r="I9" s="17" t="n">
        <v>0.0992029106779497</v>
      </c>
      <c r="J9" s="9">
        <f>IF(ISNUMBER(I9),IF(I9&lt;=0.5,"X",IF(I9&lt;=1,"Y","Z")),"Z")</f>
        <v/>
      </c>
      <c r="K9" s="9">
        <f>H9&amp;J9</f>
        <v/>
      </c>
      <c r="L9" s="9" t="inlineStr">
        <is>
          <t>AX</t>
        </is>
      </c>
    </row>
    <row r="10">
      <c r="A10" s="9" t="inlineStr">
        <is>
          <t>SYN_HOUSEHOLD_1_009_CA_2</t>
        </is>
      </c>
      <c r="B10" s="9" t="inlineStr">
        <is>
          <t>HOUSEHOLD</t>
        </is>
      </c>
      <c r="C10" s="9" t="inlineStr">
        <is>
          <t>CA_2</t>
        </is>
      </c>
      <c r="D10" s="10" t="n">
        <v>4210</v>
      </c>
      <c r="E10" s="11" t="n">
        <v>79498.01069927216</v>
      </c>
      <c r="F10" s="16">
        <f>E10/SUM($E$5:$E$84)</f>
        <v/>
      </c>
      <c r="G10" s="13">
        <f>SUM($E$5:E10)/SUM($E$5:$E$84)-F10</f>
        <v/>
      </c>
      <c r="H10" s="9">
        <f>IF(E10&lt;=0,"C",IF(G10&lt;0.8,"A",IF(G10&lt;0.95,"B","C")))</f>
        <v/>
      </c>
      <c r="I10" s="17" t="n">
        <v>0.1336574780492453</v>
      </c>
      <c r="J10" s="9">
        <f>IF(ISNUMBER(I10),IF(I10&lt;=0.5,"X",IF(I10&lt;=1,"Y","Z")),"Z")</f>
        <v/>
      </c>
      <c r="K10" s="9">
        <f>H10&amp;J10</f>
        <v/>
      </c>
      <c r="L10" s="9" t="inlineStr">
        <is>
          <t>AX</t>
        </is>
      </c>
    </row>
    <row r="11">
      <c r="A11" s="9" t="inlineStr">
        <is>
          <t>SYN_HOUSEHOLD_2_001_CA_2</t>
        </is>
      </c>
      <c r="B11" s="9" t="inlineStr">
        <is>
          <t>HOUSEHOLD</t>
        </is>
      </c>
      <c r="C11" s="9" t="inlineStr">
        <is>
          <t>CA_2</t>
        </is>
      </c>
      <c r="D11" s="10" t="n">
        <v>4725</v>
      </c>
      <c r="E11" s="11" t="n">
        <v>73921.82961845398</v>
      </c>
      <c r="F11" s="16">
        <f>E11/SUM($E$5:$E$84)</f>
        <v/>
      </c>
      <c r="G11" s="13">
        <f>SUM($E$5:E11)/SUM($E$5:$E$84)-F11</f>
        <v/>
      </c>
      <c r="H11" s="9">
        <f>IF(E11&lt;=0,"C",IF(G11&lt;0.8,"A",IF(G11&lt;0.95,"B","C")))</f>
        <v/>
      </c>
      <c r="I11" s="17" t="n">
        <v>0.1111272388613457</v>
      </c>
      <c r="J11" s="9">
        <f>IF(ISNUMBER(I11),IF(I11&lt;=0.5,"X",IF(I11&lt;=1,"Y","Z")),"Z")</f>
        <v/>
      </c>
      <c r="K11" s="9">
        <f>H11&amp;J11</f>
        <v/>
      </c>
      <c r="L11" s="9" t="inlineStr">
        <is>
          <t>AX</t>
        </is>
      </c>
    </row>
    <row r="12">
      <c r="A12" s="9" t="inlineStr">
        <is>
          <t>SYN_HOBBIES_2_005_CA_1</t>
        </is>
      </c>
      <c r="B12" s="9" t="inlineStr">
        <is>
          <t>HOBBIES</t>
        </is>
      </c>
      <c r="C12" s="9" t="inlineStr">
        <is>
          <t>CA_1</t>
        </is>
      </c>
      <c r="D12" s="10" t="n">
        <v>8970</v>
      </c>
      <c r="E12" s="11" t="n">
        <v>68010.70185661316</v>
      </c>
      <c r="F12" s="16">
        <f>E12/SUM($E$5:$E$84)</f>
        <v/>
      </c>
      <c r="G12" s="13">
        <f>SUM($E$5:E12)/SUM($E$5:$E$84)-F12</f>
        <v/>
      </c>
      <c r="H12" s="9">
        <f>IF(E12&lt;=0,"C",IF(G12&lt;0.8,"A",IF(G12&lt;0.95,"B","C")))</f>
        <v/>
      </c>
      <c r="I12" s="17" t="n">
        <v>0.0878536650950284</v>
      </c>
      <c r="J12" s="9">
        <f>IF(ISNUMBER(I12),IF(I12&lt;=0.5,"X",IF(I12&lt;=1,"Y","Z")),"Z")</f>
        <v/>
      </c>
      <c r="K12" s="9">
        <f>H12&amp;J12</f>
        <v/>
      </c>
      <c r="L12" s="9" t="inlineStr">
        <is>
          <t>AX</t>
        </is>
      </c>
    </row>
    <row r="13">
      <c r="A13" s="9" t="inlineStr">
        <is>
          <t>SYN_HOUSEHOLD_2_004_CA_1</t>
        </is>
      </c>
      <c r="B13" s="9" t="inlineStr">
        <is>
          <t>HOUSEHOLD</t>
        </is>
      </c>
      <c r="C13" s="9" t="inlineStr">
        <is>
          <t>CA_1</t>
        </is>
      </c>
      <c r="D13" s="10" t="n">
        <v>6219</v>
      </c>
      <c r="E13" s="11" t="n">
        <v>60457.59138822556</v>
      </c>
      <c r="F13" s="16">
        <f>E13/SUM($E$5:$E$84)</f>
        <v/>
      </c>
      <c r="G13" s="13">
        <f>SUM($E$5:E13)/SUM($E$5:$E$84)-F13</f>
        <v/>
      </c>
      <c r="H13" s="9">
        <f>IF(E13&lt;=0,"C",IF(G13&lt;0.8,"A",IF(G13&lt;0.95,"B","C")))</f>
        <v/>
      </c>
      <c r="I13" s="17" t="n">
        <v>0.1152223508342215</v>
      </c>
      <c r="J13" s="9">
        <f>IF(ISNUMBER(I13),IF(I13&lt;=0.5,"X",IF(I13&lt;=1,"Y","Z")),"Z")</f>
        <v/>
      </c>
      <c r="K13" s="9">
        <f>H13&amp;J13</f>
        <v/>
      </c>
      <c r="L13" s="9" t="inlineStr">
        <is>
          <t>AX</t>
        </is>
      </c>
    </row>
    <row r="14">
      <c r="A14" s="9" t="inlineStr">
        <is>
          <t>SYN_FOODS_2_009_CA_1</t>
        </is>
      </c>
      <c r="B14" s="9" t="inlineStr">
        <is>
          <t>FOODS</t>
        </is>
      </c>
      <c r="C14" s="9" t="inlineStr">
        <is>
          <t>CA_1</t>
        </is>
      </c>
      <c r="D14" s="10" t="n">
        <v>10131</v>
      </c>
      <c r="E14" s="11" t="n">
        <v>59687.14815473557</v>
      </c>
      <c r="F14" s="16">
        <f>E14/SUM($E$5:$E$84)</f>
        <v/>
      </c>
      <c r="G14" s="13">
        <f>SUM($E$5:E14)/SUM($E$5:$E$84)-F14</f>
        <v/>
      </c>
      <c r="H14" s="9">
        <f>IF(E14&lt;=0,"C",IF(G14&lt;0.8,"A",IF(G14&lt;0.95,"B","C")))</f>
        <v/>
      </c>
      <c r="I14" s="17" t="n">
        <v>0.0864732659033413</v>
      </c>
      <c r="J14" s="9">
        <f>IF(ISNUMBER(I14),IF(I14&lt;=0.5,"X",IF(I14&lt;=1,"Y","Z")),"Z")</f>
        <v/>
      </c>
      <c r="K14" s="9">
        <f>H14&amp;J14</f>
        <v/>
      </c>
      <c r="L14" s="9" t="inlineStr">
        <is>
          <t>AX</t>
        </is>
      </c>
    </row>
    <row r="15">
      <c r="A15" s="9" t="inlineStr">
        <is>
          <t>SYN_FOODS_1_007_CA_2</t>
        </is>
      </c>
      <c r="B15" s="9" t="inlineStr">
        <is>
          <t>FOODS</t>
        </is>
      </c>
      <c r="C15" s="9" t="inlineStr">
        <is>
          <t>CA_2</t>
        </is>
      </c>
      <c r="D15" s="10" t="n">
        <v>6712</v>
      </c>
      <c r="E15" s="11" t="n">
        <v>51626.67964506149</v>
      </c>
      <c r="F15" s="16">
        <f>E15/SUM($E$5:$E$84)</f>
        <v/>
      </c>
      <c r="G15" s="13">
        <f>SUM($E$5:E15)/SUM($E$5:$E$84)-F15</f>
        <v/>
      </c>
      <c r="H15" s="9">
        <f>IF(E15&lt;=0,"C",IF(G15&lt;0.8,"A",IF(G15&lt;0.95,"B","C")))</f>
        <v/>
      </c>
      <c r="I15" s="17" t="n">
        <v>0.0963232529288145</v>
      </c>
      <c r="J15" s="9">
        <f>IF(ISNUMBER(I15),IF(I15&lt;=0.5,"X",IF(I15&lt;=1,"Y","Z")),"Z")</f>
        <v/>
      </c>
      <c r="K15" s="9">
        <f>H15&amp;J15</f>
        <v/>
      </c>
      <c r="L15" s="9" t="inlineStr">
        <is>
          <t>AX</t>
        </is>
      </c>
    </row>
    <row r="16">
      <c r="A16" s="9" t="inlineStr">
        <is>
          <t>SYN_HOBBIES_2_006_CA_2</t>
        </is>
      </c>
      <c r="B16" s="9" t="inlineStr">
        <is>
          <t>HOBBIES</t>
        </is>
      </c>
      <c r="C16" s="9" t="inlineStr">
        <is>
          <t>CA_2</t>
        </is>
      </c>
      <c r="D16" s="10" t="n">
        <v>3853</v>
      </c>
      <c r="E16" s="11" t="n">
        <v>50667.89078426361</v>
      </c>
      <c r="F16" s="16">
        <f>E16/SUM($E$5:$E$84)</f>
        <v/>
      </c>
      <c r="G16" s="13">
        <f>SUM($E$5:E16)/SUM($E$5:$E$84)-F16</f>
        <v/>
      </c>
      <c r="H16" s="9">
        <f>IF(E16&lt;=0,"C",IF(G16&lt;0.8,"A",IF(G16&lt;0.95,"B","C")))</f>
        <v/>
      </c>
      <c r="I16" s="17" t="n">
        <v>0.1189310655109223</v>
      </c>
      <c r="J16" s="9">
        <f>IF(ISNUMBER(I16),IF(I16&lt;=0.5,"X",IF(I16&lt;=1,"Y","Z")),"Z")</f>
        <v/>
      </c>
      <c r="K16" s="9">
        <f>H16&amp;J16</f>
        <v/>
      </c>
      <c r="L16" s="9" t="inlineStr">
        <is>
          <t>AX</t>
        </is>
      </c>
    </row>
    <row r="17">
      <c r="A17" s="9" t="inlineStr">
        <is>
          <t>SYN_FOODS_2_009_CA_2</t>
        </is>
      </c>
      <c r="B17" s="9" t="inlineStr">
        <is>
          <t>FOODS</t>
        </is>
      </c>
      <c r="C17" s="9" t="inlineStr">
        <is>
          <t>CA_2</t>
        </is>
      </c>
      <c r="D17" s="10" t="n">
        <v>8268</v>
      </c>
      <c r="E17" s="11" t="n">
        <v>48958.92840671539</v>
      </c>
      <c r="F17" s="16">
        <f>E17/SUM($E$5:$E$84)</f>
        <v/>
      </c>
      <c r="G17" s="13">
        <f>SUM($E$5:E17)/SUM($E$5:$E$84)-F17</f>
        <v/>
      </c>
      <c r="H17" s="9">
        <f>IF(E17&lt;=0,"C",IF(G17&lt;0.8,"A",IF(G17&lt;0.95,"B","C")))</f>
        <v/>
      </c>
      <c r="I17" s="17" t="n">
        <v>0.1057035304651941</v>
      </c>
      <c r="J17" s="9">
        <f>IF(ISNUMBER(I17),IF(I17&lt;=0.5,"X",IF(I17&lt;=1,"Y","Z")),"Z")</f>
        <v/>
      </c>
      <c r="K17" s="9">
        <f>H17&amp;J17</f>
        <v/>
      </c>
      <c r="L17" s="9" t="inlineStr">
        <is>
          <t>AX</t>
        </is>
      </c>
    </row>
    <row r="18">
      <c r="A18" s="9" t="inlineStr">
        <is>
          <t>SYN_FOODS_3_009_CA_1</t>
        </is>
      </c>
      <c r="B18" s="9" t="inlineStr">
        <is>
          <t>FOODS</t>
        </is>
      </c>
      <c r="C18" s="9" t="inlineStr">
        <is>
          <t>CA_1</t>
        </is>
      </c>
      <c r="D18" s="10" t="n">
        <v>6497</v>
      </c>
      <c r="E18" s="11" t="n">
        <v>48941.69926357269</v>
      </c>
      <c r="F18" s="16">
        <f>E18/SUM($E$5:$E$84)</f>
        <v/>
      </c>
      <c r="G18" s="13">
        <f>SUM($E$5:E18)/SUM($E$5:$E$84)-F18</f>
        <v/>
      </c>
      <c r="H18" s="9">
        <f>IF(E18&lt;=0,"C",IF(G18&lt;0.8,"A",IF(G18&lt;0.95,"B","C")))</f>
        <v/>
      </c>
      <c r="I18" s="17" t="n">
        <v>0.110986369201673</v>
      </c>
      <c r="J18" s="9">
        <f>IF(ISNUMBER(I18),IF(I18&lt;=0.5,"X",IF(I18&lt;=1,"Y","Z")),"Z")</f>
        <v/>
      </c>
      <c r="K18" s="9">
        <f>H18&amp;J18</f>
        <v/>
      </c>
      <c r="L18" s="9" t="inlineStr">
        <is>
          <t>AX</t>
        </is>
      </c>
    </row>
    <row r="19">
      <c r="A19" s="9" t="inlineStr">
        <is>
          <t>SYN_HOBBIES_2_004_CA_1</t>
        </is>
      </c>
      <c r="B19" s="9" t="inlineStr">
        <is>
          <t>HOBBIES</t>
        </is>
      </c>
      <c r="C19" s="9" t="inlineStr">
        <is>
          <t>CA_1</t>
        </is>
      </c>
      <c r="D19" s="10" t="n">
        <v>11510</v>
      </c>
      <c r="E19" s="11" t="n">
        <v>48845.55962586403</v>
      </c>
      <c r="F19" s="16">
        <f>E19/SUM($E$5:$E$84)</f>
        <v/>
      </c>
      <c r="G19" s="13">
        <f>SUM($E$5:E19)/SUM($E$5:$E$84)-F19</f>
        <v/>
      </c>
      <c r="H19" s="9">
        <f>IF(E19&lt;=0,"C",IF(G19&lt;0.8,"A",IF(G19&lt;0.95,"B","C")))</f>
        <v/>
      </c>
      <c r="I19" s="17" t="n">
        <v>0.08525072766136341</v>
      </c>
      <c r="J19" s="9">
        <f>IF(ISNUMBER(I19),IF(I19&lt;=0.5,"X",IF(I19&lt;=1,"Y","Z")),"Z")</f>
        <v/>
      </c>
      <c r="K19" s="9">
        <f>H19&amp;J19</f>
        <v/>
      </c>
      <c r="L19" s="9" t="inlineStr">
        <is>
          <t>AX</t>
        </is>
      </c>
    </row>
    <row r="20">
      <c r="A20" s="9" t="inlineStr">
        <is>
          <t>SYN_FOODS_1_009_CA_2</t>
        </is>
      </c>
      <c r="B20" s="9" t="inlineStr">
        <is>
          <t>FOODS</t>
        </is>
      </c>
      <c r="C20" s="9" t="inlineStr">
        <is>
          <t>CA_2</t>
        </is>
      </c>
      <c r="D20" s="10" t="n">
        <v>6131</v>
      </c>
      <c r="E20" s="11" t="n">
        <v>47070.50111722946</v>
      </c>
      <c r="F20" s="16">
        <f>E20/SUM($E$5:$E$84)</f>
        <v/>
      </c>
      <c r="G20" s="13">
        <f>SUM($E$5:E20)/SUM($E$5:$E$84)-F20</f>
        <v/>
      </c>
      <c r="H20" s="9">
        <f>IF(E20&lt;=0,"C",IF(G20&lt;0.8,"A",IF(G20&lt;0.95,"B","C")))</f>
        <v/>
      </c>
      <c r="I20" s="17" t="n">
        <v>0.1187676638770706</v>
      </c>
      <c r="J20" s="9">
        <f>IF(ISNUMBER(I20),IF(I20&lt;=0.5,"X",IF(I20&lt;=1,"Y","Z")),"Z")</f>
        <v/>
      </c>
      <c r="K20" s="9">
        <f>H20&amp;J20</f>
        <v/>
      </c>
      <c r="L20" s="9" t="inlineStr">
        <is>
          <t>AX</t>
        </is>
      </c>
    </row>
    <row r="21">
      <c r="A21" s="9" t="inlineStr">
        <is>
          <t>SYN_HOBBIES_1_009_CA_1</t>
        </is>
      </c>
      <c r="B21" s="9" t="inlineStr">
        <is>
          <t>HOBBIES</t>
        </is>
      </c>
      <c r="C21" s="9" t="inlineStr">
        <is>
          <t>CA_1</t>
        </is>
      </c>
      <c r="D21" s="10" t="n">
        <v>4281</v>
      </c>
      <c r="E21" s="11" t="n">
        <v>46442.00005626679</v>
      </c>
      <c r="F21" s="16">
        <f>E21/SUM($E$5:$E$84)</f>
        <v/>
      </c>
      <c r="G21" s="13">
        <f>SUM($E$5:E21)/SUM($E$5:$E$84)-F21</f>
        <v/>
      </c>
      <c r="H21" s="9">
        <f>IF(E21&lt;=0,"C",IF(G21&lt;0.8,"A",IF(G21&lt;0.95,"B","C")))</f>
        <v/>
      </c>
      <c r="I21" s="17" t="n">
        <v>0.1087689836879747</v>
      </c>
      <c r="J21" s="9">
        <f>IF(ISNUMBER(I21),IF(I21&lt;=0.5,"X",IF(I21&lt;=1,"Y","Z")),"Z")</f>
        <v/>
      </c>
      <c r="K21" s="9">
        <f>H21&amp;J21</f>
        <v/>
      </c>
      <c r="L21" s="9" t="inlineStr">
        <is>
          <t>AX</t>
        </is>
      </c>
    </row>
    <row r="22">
      <c r="A22" s="9" t="inlineStr">
        <is>
          <t>SYN_HOUSEHOLD_1_002_CA_2</t>
        </is>
      </c>
      <c r="B22" s="9" t="inlineStr">
        <is>
          <t>HOUSEHOLD</t>
        </is>
      </c>
      <c r="C22" s="9" t="inlineStr">
        <is>
          <t>CA_2</t>
        </is>
      </c>
      <c r="D22" s="10" t="n">
        <v>8006</v>
      </c>
      <c r="E22" s="11" t="n">
        <v>40241.56123113632</v>
      </c>
      <c r="F22" s="16">
        <f>E22/SUM($E$5:$E$84)</f>
        <v/>
      </c>
      <c r="G22" s="13">
        <f>SUM($E$5:E22)/SUM($E$5:$E$84)-F22</f>
        <v/>
      </c>
      <c r="H22" s="9">
        <f>IF(E22&lt;=0,"C",IF(G22&lt;0.8,"A",IF(G22&lt;0.95,"B","C")))</f>
        <v/>
      </c>
      <c r="I22" s="17" t="n">
        <v>0.1026805807634216</v>
      </c>
      <c r="J22" s="9">
        <f>IF(ISNUMBER(I22),IF(I22&lt;=0.5,"X",IF(I22&lt;=1,"Y","Z")),"Z")</f>
        <v/>
      </c>
      <c r="K22" s="9">
        <f>H22&amp;J22</f>
        <v/>
      </c>
      <c r="L22" s="9" t="inlineStr">
        <is>
          <t>AX</t>
        </is>
      </c>
    </row>
    <row r="23">
      <c r="A23" s="9" t="inlineStr">
        <is>
          <t>SYN_FOODS_1_009_CA_1</t>
        </is>
      </c>
      <c r="B23" s="9" t="inlineStr">
        <is>
          <t>FOODS</t>
        </is>
      </c>
      <c r="C23" s="9" t="inlineStr">
        <is>
          <t>CA_1</t>
        </is>
      </c>
      <c r="D23" s="10" t="n">
        <v>4889</v>
      </c>
      <c r="E23" s="11" t="n">
        <v>37203.3808016777</v>
      </c>
      <c r="F23" s="16">
        <f>E23/SUM($E$5:$E$84)</f>
        <v/>
      </c>
      <c r="G23" s="13">
        <f>SUM($E$5:E23)/SUM($E$5:$E$84)-F23</f>
        <v/>
      </c>
      <c r="H23" s="9">
        <f>IF(E23&lt;=0,"C",IF(G23&lt;0.8,"A",IF(G23&lt;0.95,"B","C")))</f>
        <v/>
      </c>
      <c r="I23" s="17" t="n">
        <v>0.1146801465271621</v>
      </c>
      <c r="J23" s="9">
        <f>IF(ISNUMBER(I23),IF(I23&lt;=0.5,"X",IF(I23&lt;=1,"Y","Z")),"Z")</f>
        <v/>
      </c>
      <c r="K23" s="9">
        <f>H23&amp;J23</f>
        <v/>
      </c>
      <c r="L23" s="9" t="inlineStr">
        <is>
          <t>AX</t>
        </is>
      </c>
    </row>
    <row r="24">
      <c r="A24" s="9" t="inlineStr">
        <is>
          <t>SYN_HOUSEHOLD_2_006_CA_2</t>
        </is>
      </c>
      <c r="B24" s="9" t="inlineStr">
        <is>
          <t>HOUSEHOLD</t>
        </is>
      </c>
      <c r="C24" s="9" t="inlineStr">
        <is>
          <t>CA_2</t>
        </is>
      </c>
      <c r="D24" s="10" t="n">
        <v>2555</v>
      </c>
      <c r="E24" s="11" t="n">
        <v>33101.26059436798</v>
      </c>
      <c r="F24" s="16">
        <f>E24/SUM($E$5:$E$84)</f>
        <v/>
      </c>
      <c r="G24" s="13">
        <f>SUM($E$5:E24)/SUM($E$5:$E$84)-F24</f>
        <v/>
      </c>
      <c r="H24" s="9">
        <f>IF(E24&lt;=0,"C",IF(G24&lt;0.8,"A",IF(G24&lt;0.95,"B","C")))</f>
        <v/>
      </c>
      <c r="I24" s="17" t="n">
        <v>0.320964097346893</v>
      </c>
      <c r="J24" s="9">
        <f>IF(ISNUMBER(I24),IF(I24&lt;=0.5,"X",IF(I24&lt;=1,"Y","Z")),"Z")</f>
        <v/>
      </c>
      <c r="K24" s="9">
        <f>H24&amp;J24</f>
        <v/>
      </c>
      <c r="L24" s="9" t="inlineStr">
        <is>
          <t>AX</t>
        </is>
      </c>
    </row>
    <row r="25">
      <c r="A25" s="9" t="inlineStr">
        <is>
          <t>SYN_HOUSEHOLD_2_003_CA_1</t>
        </is>
      </c>
      <c r="B25" s="9" t="inlineStr">
        <is>
          <t>HOUSEHOLD</t>
        </is>
      </c>
      <c r="C25" s="9" t="inlineStr">
        <is>
          <t>CA_1</t>
        </is>
      </c>
      <c r="D25" s="10" t="n">
        <v>2042</v>
      </c>
      <c r="E25" s="11" t="n">
        <v>32502.141330719</v>
      </c>
      <c r="F25" s="16">
        <f>E25/SUM($E$5:$E$84)</f>
        <v/>
      </c>
      <c r="G25" s="13">
        <f>SUM($E$5:E25)/SUM($E$5:$E$84)-F25</f>
        <v/>
      </c>
      <c r="H25" s="9">
        <f>IF(E25&lt;=0,"C",IF(G25&lt;0.8,"A",IF(G25&lt;0.95,"B","C")))</f>
        <v/>
      </c>
      <c r="I25" s="17" t="n">
        <v>0.3383653057657608</v>
      </c>
      <c r="J25" s="9">
        <f>IF(ISNUMBER(I25),IF(I25&lt;=0.5,"X",IF(I25&lt;=1,"Y","Z")),"Z")</f>
        <v/>
      </c>
      <c r="K25" s="9">
        <f>H25&amp;J25</f>
        <v/>
      </c>
      <c r="L25" s="9" t="inlineStr">
        <is>
          <t>AX</t>
        </is>
      </c>
    </row>
    <row r="26">
      <c r="A26" s="9" t="inlineStr">
        <is>
          <t>SYN_HOUSEHOLD_2_006_CA_1</t>
        </is>
      </c>
      <c r="B26" s="9" t="inlineStr">
        <is>
          <t>HOUSEHOLD</t>
        </is>
      </c>
      <c r="C26" s="9" t="inlineStr">
        <is>
          <t>CA_1</t>
        </is>
      </c>
      <c r="D26" s="10" t="n">
        <v>2391</v>
      </c>
      <c r="E26" s="11" t="n">
        <v>31458.54061889648</v>
      </c>
      <c r="F26" s="16">
        <f>E26/SUM($E$5:$E$84)</f>
        <v/>
      </c>
      <c r="G26" s="13">
        <f>SUM($E$5:E26)/SUM($E$5:$E$84)-F26</f>
        <v/>
      </c>
      <c r="H26" s="9">
        <f>IF(E26&lt;=0,"C",IF(G26&lt;0.8,"A",IF(G26&lt;0.95,"B","C")))</f>
        <v/>
      </c>
      <c r="I26" s="17" t="n">
        <v>0.3433970289103932</v>
      </c>
      <c r="J26" s="9">
        <f>IF(ISNUMBER(I26),IF(I26&lt;=0.5,"X",IF(I26&lt;=1,"Y","Z")),"Z")</f>
        <v/>
      </c>
      <c r="K26" s="9">
        <f>H26&amp;J26</f>
        <v/>
      </c>
      <c r="L26" s="9" t="inlineStr">
        <is>
          <t>AX</t>
        </is>
      </c>
    </row>
    <row r="27">
      <c r="A27" s="9" t="inlineStr">
        <is>
          <t>SYN_HOBBIES_2_009_CA_1</t>
        </is>
      </c>
      <c r="B27" s="9" t="inlineStr">
        <is>
          <t>HOBBIES</t>
        </is>
      </c>
      <c r="C27" s="9" t="inlineStr">
        <is>
          <t>CA_1</t>
        </is>
      </c>
      <c r="D27" s="10" t="n">
        <v>1780</v>
      </c>
      <c r="E27" s="11" t="n">
        <v>26830.63987922668</v>
      </c>
      <c r="F27" s="16">
        <f>E27/SUM($E$5:$E$84)</f>
        <v/>
      </c>
      <c r="G27" s="13">
        <f>SUM($E$5:E27)/SUM($E$5:$E$84)-F27</f>
        <v/>
      </c>
      <c r="H27" s="9">
        <f>IF(E27&lt;=0,"C",IF(G27&lt;0.8,"A",IF(G27&lt;0.95,"B","C")))</f>
        <v/>
      </c>
      <c r="I27" s="17" t="n">
        <v>0.1471079921070894</v>
      </c>
      <c r="J27" s="9">
        <f>IF(ISNUMBER(I27),IF(I27&lt;=0.5,"X",IF(I27&lt;=1,"Y","Z")),"Z")</f>
        <v/>
      </c>
      <c r="K27" s="9">
        <f>H27&amp;J27</f>
        <v/>
      </c>
      <c r="L27" s="9" t="inlineStr">
        <is>
          <t>AX</t>
        </is>
      </c>
    </row>
    <row r="28">
      <c r="A28" s="9" t="inlineStr">
        <is>
          <t>SYN_HOUSEHOLD_2_003_CA_2</t>
        </is>
      </c>
      <c r="B28" s="9" t="inlineStr">
        <is>
          <t>HOUSEHOLD</t>
        </is>
      </c>
      <c r="C28" s="9" t="inlineStr">
        <is>
          <t>CA_2</t>
        </is>
      </c>
      <c r="D28" s="10" t="n">
        <v>1448</v>
      </c>
      <c r="E28" s="11" t="n">
        <v>22530.92078399659</v>
      </c>
      <c r="F28" s="16">
        <f>E28/SUM($E$5:$E$84)</f>
        <v/>
      </c>
      <c r="G28" s="13">
        <f>SUM($E$5:E28)/SUM($E$5:$E$84)-F28</f>
        <v/>
      </c>
      <c r="H28" s="9">
        <f>IF(E28&lt;=0,"C",IF(G28&lt;0.8,"A",IF(G28&lt;0.95,"B","C")))</f>
        <v/>
      </c>
      <c r="I28" s="17" t="n">
        <v>0.3936736330949387</v>
      </c>
      <c r="J28" s="9">
        <f>IF(ISNUMBER(I28),IF(I28&lt;=0.5,"X",IF(I28&lt;=1,"Y","Z")),"Z")</f>
        <v/>
      </c>
      <c r="K28" s="9">
        <f>H28&amp;J28</f>
        <v/>
      </c>
      <c r="L28" s="9" t="inlineStr">
        <is>
          <t>BX</t>
        </is>
      </c>
    </row>
    <row r="29">
      <c r="A29" s="9" t="inlineStr">
        <is>
          <t>SYN_HOBBIES_2_004_CA_2</t>
        </is>
      </c>
      <c r="B29" s="9" t="inlineStr">
        <is>
          <t>HOBBIES</t>
        </is>
      </c>
      <c r="C29" s="9" t="inlineStr">
        <is>
          <t>CA_2</t>
        </is>
      </c>
      <c r="D29" s="10" t="n">
        <v>5232</v>
      </c>
      <c r="E29" s="11" t="n">
        <v>22274.13982129097</v>
      </c>
      <c r="F29" s="16">
        <f>E29/SUM($E$5:$E$84)</f>
        <v/>
      </c>
      <c r="G29" s="13">
        <f>SUM($E$5:E29)/SUM($E$5:$E$84)-F29</f>
        <v/>
      </c>
      <c r="H29" s="9">
        <f>IF(E29&lt;=0,"C",IF(G29&lt;0.8,"A",IF(G29&lt;0.95,"B","C")))</f>
        <v/>
      </c>
      <c r="I29" s="17" t="n">
        <v>0.1335779388207814</v>
      </c>
      <c r="J29" s="9">
        <f>IF(ISNUMBER(I29),IF(I29&lt;=0.5,"X",IF(I29&lt;=1,"Y","Z")),"Z")</f>
        <v/>
      </c>
      <c r="K29" s="9">
        <f>H29&amp;J29</f>
        <v/>
      </c>
      <c r="L29" s="9" t="inlineStr">
        <is>
          <t>BX</t>
        </is>
      </c>
    </row>
    <row r="30">
      <c r="A30" s="9" t="inlineStr">
        <is>
          <t>SYN_FOODS_3_007_CA_2</t>
        </is>
      </c>
      <c r="B30" s="9" t="inlineStr">
        <is>
          <t>FOODS</t>
        </is>
      </c>
      <c r="C30" s="9" t="inlineStr">
        <is>
          <t>CA_2</t>
        </is>
      </c>
      <c r="D30" s="10" t="n">
        <v>8017</v>
      </c>
      <c r="E30" s="11" t="n">
        <v>22144.69938492775</v>
      </c>
      <c r="F30" s="16">
        <f>E30/SUM($E$5:$E$84)</f>
        <v/>
      </c>
      <c r="G30" s="13">
        <f>SUM($E$5:E30)/SUM($E$5:$E$84)-F30</f>
        <v/>
      </c>
      <c r="H30" s="9">
        <f>IF(E30&lt;=0,"C",IF(G30&lt;0.8,"A",IF(G30&lt;0.95,"B","C")))</f>
        <v/>
      </c>
      <c r="I30" s="17" t="n">
        <v>0.0912485610391645</v>
      </c>
      <c r="J30" s="9">
        <f>IF(ISNUMBER(I30),IF(I30&lt;=0.5,"X",IF(I30&lt;=1,"Y","Z")),"Z")</f>
        <v/>
      </c>
      <c r="K30" s="9">
        <f>H30&amp;J30</f>
        <v/>
      </c>
      <c r="L30" s="9" t="inlineStr">
        <is>
          <t>BX</t>
        </is>
      </c>
    </row>
    <row r="31">
      <c r="A31" s="9" t="inlineStr">
        <is>
          <t>SYN_HOBBIES_2_001_CA_2</t>
        </is>
      </c>
      <c r="B31" s="9" t="inlineStr">
        <is>
          <t>HOBBIES</t>
        </is>
      </c>
      <c r="C31" s="9" t="inlineStr">
        <is>
          <t>CA_2</t>
        </is>
      </c>
      <c r="D31" s="10" t="n">
        <v>1472</v>
      </c>
      <c r="E31" s="11" t="n">
        <v>20198.95054340363</v>
      </c>
      <c r="F31" s="16">
        <f>E31/SUM($E$5:$E$84)</f>
        <v/>
      </c>
      <c r="G31" s="13">
        <f>SUM($E$5:E31)/SUM($E$5:$E$84)-F31</f>
        <v/>
      </c>
      <c r="H31" s="9">
        <f>IF(E31&lt;=0,"C",IF(G31&lt;0.8,"A",IF(G31&lt;0.95,"B","C")))</f>
        <v/>
      </c>
      <c r="I31" s="17" t="n">
        <v>0.3377899587449555</v>
      </c>
      <c r="J31" s="9">
        <f>IF(ISNUMBER(I31),IF(I31&lt;=0.5,"X",IF(I31&lt;=1,"Y","Z")),"Z")</f>
        <v/>
      </c>
      <c r="K31" s="9">
        <f>H31&amp;J31</f>
        <v/>
      </c>
      <c r="L31" s="9" t="inlineStr">
        <is>
          <t>BX</t>
        </is>
      </c>
    </row>
    <row r="32">
      <c r="A32" s="9" t="inlineStr">
        <is>
          <t>SYN_FOODS_3_005_CA_1</t>
        </is>
      </c>
      <c r="B32" s="9" t="inlineStr">
        <is>
          <t>FOODS</t>
        </is>
      </c>
      <c r="C32" s="9" t="inlineStr">
        <is>
          <t>CA_1</t>
        </is>
      </c>
      <c r="D32" s="10" t="n">
        <v>7593</v>
      </c>
      <c r="E32" s="11" t="n">
        <v>18780.35985517502</v>
      </c>
      <c r="F32" s="16">
        <f>E32/SUM($E$5:$E$84)</f>
        <v/>
      </c>
      <c r="G32" s="13">
        <f>SUM($E$5:E32)/SUM($E$5:$E$84)-F32</f>
        <v/>
      </c>
      <c r="H32" s="9">
        <f>IF(E32&lt;=0,"C",IF(G32&lt;0.8,"A",IF(G32&lt;0.95,"B","C")))</f>
        <v/>
      </c>
      <c r="I32" s="17" t="n">
        <v>0.1043779342483123</v>
      </c>
      <c r="J32" s="9">
        <f>IF(ISNUMBER(I32),IF(I32&lt;=0.5,"X",IF(I32&lt;=1,"Y","Z")),"Z")</f>
        <v/>
      </c>
      <c r="K32" s="9">
        <f>H32&amp;J32</f>
        <v/>
      </c>
      <c r="L32" s="9" t="inlineStr">
        <is>
          <t>BX</t>
        </is>
      </c>
    </row>
    <row r="33">
      <c r="A33" s="9" t="inlineStr">
        <is>
          <t>SYN_HOUSEHOLD_1_008_CA_2</t>
        </is>
      </c>
      <c r="B33" s="9" t="inlineStr">
        <is>
          <t>HOUSEHOLD</t>
        </is>
      </c>
      <c r="C33" s="9" t="inlineStr">
        <is>
          <t>CA_2</t>
        </is>
      </c>
      <c r="D33" s="10" t="n">
        <v>5192</v>
      </c>
      <c r="E33" s="11" t="n">
        <v>17817.09997582436</v>
      </c>
      <c r="F33" s="16">
        <f>E33/SUM($E$5:$E$84)</f>
        <v/>
      </c>
      <c r="G33" s="13">
        <f>SUM($E$5:E33)/SUM($E$5:$E$84)-F33</f>
        <v/>
      </c>
      <c r="H33" s="9">
        <f>IF(E33&lt;=0,"C",IF(G33&lt;0.8,"A",IF(G33&lt;0.95,"B","C")))</f>
        <v/>
      </c>
      <c r="I33" s="17" t="n">
        <v>0.1275121237094824</v>
      </c>
      <c r="J33" s="9">
        <f>IF(ISNUMBER(I33),IF(I33&lt;=0.5,"X",IF(I33&lt;=1,"Y","Z")),"Z")</f>
        <v/>
      </c>
      <c r="K33" s="9">
        <f>H33&amp;J33</f>
        <v/>
      </c>
      <c r="L33" s="9" t="inlineStr">
        <is>
          <t>BX</t>
        </is>
      </c>
    </row>
    <row r="34">
      <c r="A34" s="9" t="inlineStr">
        <is>
          <t>SYN_HOBBIES_2_001_CA_1</t>
        </is>
      </c>
      <c r="B34" s="9" t="inlineStr">
        <is>
          <t>HOBBIES</t>
        </is>
      </c>
      <c r="C34" s="9" t="inlineStr">
        <is>
          <t>CA_1</t>
        </is>
      </c>
      <c r="D34" s="10" t="n">
        <v>1231</v>
      </c>
      <c r="E34" s="11" t="n">
        <v>16920.08045864105</v>
      </c>
      <c r="F34" s="16">
        <f>E34/SUM($E$5:$E$84)</f>
        <v/>
      </c>
      <c r="G34" s="13">
        <f>SUM($E$5:E34)/SUM($E$5:$E$84)-F34</f>
        <v/>
      </c>
      <c r="H34" s="9">
        <f>IF(E34&lt;=0,"C",IF(G34&lt;0.8,"A",IF(G34&lt;0.95,"B","C")))</f>
        <v/>
      </c>
      <c r="I34" s="17" t="n">
        <v>0.3774281994719317</v>
      </c>
      <c r="J34" s="9">
        <f>IF(ISNUMBER(I34),IF(I34&lt;=0.5,"X",IF(I34&lt;=1,"Y","Z")),"Z")</f>
        <v/>
      </c>
      <c r="K34" s="9">
        <f>H34&amp;J34</f>
        <v/>
      </c>
      <c r="L34" s="9" t="inlineStr">
        <is>
          <t>BX</t>
        </is>
      </c>
    </row>
    <row r="35">
      <c r="A35" s="9" t="inlineStr">
        <is>
          <t>SYN_FOODS_3_005_CA_2</t>
        </is>
      </c>
      <c r="B35" s="9" t="inlineStr">
        <is>
          <t>FOODS</t>
        </is>
      </c>
      <c r="C35" s="9" t="inlineStr">
        <is>
          <t>CA_2</t>
        </is>
      </c>
      <c r="D35" s="10" t="n">
        <v>6434</v>
      </c>
      <c r="E35" s="11" t="n">
        <v>16003.17987728119</v>
      </c>
      <c r="F35" s="16">
        <f>E35/SUM($E$5:$E$84)</f>
        <v/>
      </c>
      <c r="G35" s="13">
        <f>SUM($E$5:E35)/SUM($E$5:$E$84)-F35</f>
        <v/>
      </c>
      <c r="H35" s="9">
        <f>IF(E35&lt;=0,"C",IF(G35&lt;0.8,"A",IF(G35&lt;0.95,"B","C")))</f>
        <v/>
      </c>
      <c r="I35" s="17" t="n">
        <v>0.1032049351074537</v>
      </c>
      <c r="J35" s="9">
        <f>IF(ISNUMBER(I35),IF(I35&lt;=0.5,"X",IF(I35&lt;=1,"Y","Z")),"Z")</f>
        <v/>
      </c>
      <c r="K35" s="9">
        <f>H35&amp;J35</f>
        <v/>
      </c>
      <c r="L35" s="9" t="inlineStr">
        <is>
          <t>BX</t>
        </is>
      </c>
    </row>
    <row r="36">
      <c r="A36" s="9" t="inlineStr">
        <is>
          <t>SYN_HOBBIES_1_001_CA_1</t>
        </is>
      </c>
      <c r="B36" s="9" t="inlineStr">
        <is>
          <t>HOBBIES</t>
        </is>
      </c>
      <c r="C36" s="9" t="inlineStr">
        <is>
          <t>CA_1</t>
        </is>
      </c>
      <c r="D36" s="10" t="n">
        <v>1653</v>
      </c>
      <c r="E36" s="11" t="n">
        <v>15401.13007974625</v>
      </c>
      <c r="F36" s="16">
        <f>E36/SUM($E$5:$E$84)</f>
        <v/>
      </c>
      <c r="G36" s="13">
        <f>SUM($E$5:E36)/SUM($E$5:$E$84)-F36</f>
        <v/>
      </c>
      <c r="H36" s="9">
        <f>IF(E36&lt;=0,"C",IF(G36&lt;0.8,"A",IF(G36&lt;0.95,"B","C")))</f>
        <v/>
      </c>
      <c r="I36" s="17" t="n">
        <v>0.3972483109319966</v>
      </c>
      <c r="J36" s="9">
        <f>IF(ISNUMBER(I36),IF(I36&lt;=0.5,"X",IF(I36&lt;=1,"Y","Z")),"Z")</f>
        <v/>
      </c>
      <c r="K36" s="9">
        <f>H36&amp;J36</f>
        <v/>
      </c>
      <c r="L36" s="9" t="inlineStr">
        <is>
          <t>BX</t>
        </is>
      </c>
    </row>
    <row r="37">
      <c r="A37" s="9" t="inlineStr">
        <is>
          <t>SYN_HOUSEHOLD_1_007_CA_1</t>
        </is>
      </c>
      <c r="B37" s="9" t="inlineStr">
        <is>
          <t>HOUSEHOLD</t>
        </is>
      </c>
      <c r="C37" s="9" t="inlineStr">
        <is>
          <t>CA_1</t>
        </is>
      </c>
      <c r="D37" s="10" t="n">
        <v>3360</v>
      </c>
      <c r="E37" s="11" t="n">
        <v>13998.69997501373</v>
      </c>
      <c r="F37" s="16">
        <f>E37/SUM($E$5:$E$84)</f>
        <v/>
      </c>
      <c r="G37" s="13">
        <f>SUM($E$5:E37)/SUM($E$5:$E$84)-F37</f>
        <v/>
      </c>
      <c r="H37" s="9">
        <f>IF(E37&lt;=0,"C",IF(G37&lt;0.8,"A",IF(G37&lt;0.95,"B","C")))</f>
        <v/>
      </c>
      <c r="I37" s="17" t="n">
        <v>0.4180892083050064</v>
      </c>
      <c r="J37" s="9">
        <f>IF(ISNUMBER(I37),IF(I37&lt;=0.5,"X",IF(I37&lt;=1,"Y","Z")),"Z")</f>
        <v/>
      </c>
      <c r="K37" s="9">
        <f>H37&amp;J37</f>
        <v/>
      </c>
      <c r="L37" s="9" t="inlineStr">
        <is>
          <t>BX</t>
        </is>
      </c>
    </row>
    <row r="38">
      <c r="A38" s="9" t="inlineStr">
        <is>
          <t>SYN_FOODS_1_001_CA_2</t>
        </is>
      </c>
      <c r="B38" s="9" t="inlineStr">
        <is>
          <t>FOODS</t>
        </is>
      </c>
      <c r="C38" s="9" t="inlineStr">
        <is>
          <t>CA_2</t>
        </is>
      </c>
      <c r="D38" s="10" t="n">
        <v>2414</v>
      </c>
      <c r="E38" s="11" t="n">
        <v>12733.52029418945</v>
      </c>
      <c r="F38" s="16">
        <f>E38/SUM($E$5:$E$84)</f>
        <v/>
      </c>
      <c r="G38" s="13">
        <f>SUM($E$5:E38)/SUM($E$5:$E$84)-F38</f>
        <v/>
      </c>
      <c r="H38" s="9">
        <f>IF(E38&lt;=0,"C",IF(G38&lt;0.8,"A",IF(G38&lt;0.95,"B","C")))</f>
        <v/>
      </c>
      <c r="I38" s="17" t="n">
        <v>0.3246278306729381</v>
      </c>
      <c r="J38" s="9">
        <f>IF(ISNUMBER(I38),IF(I38&lt;=0.5,"X",IF(I38&lt;=1,"Y","Z")),"Z")</f>
        <v/>
      </c>
      <c r="K38" s="9">
        <f>H38&amp;J38</f>
        <v/>
      </c>
      <c r="L38" s="9" t="inlineStr">
        <is>
          <t>BX</t>
        </is>
      </c>
    </row>
    <row r="39">
      <c r="A39" s="9" t="inlineStr">
        <is>
          <t>SYN_HOBBIES_1_009_CA_2</t>
        </is>
      </c>
      <c r="B39" s="9" t="inlineStr">
        <is>
          <t>HOBBIES</t>
        </is>
      </c>
      <c r="C39" s="9" t="inlineStr">
        <is>
          <t>CA_2</t>
        </is>
      </c>
      <c r="D39" s="10" t="n">
        <v>964</v>
      </c>
      <c r="E39" s="11" t="n">
        <v>10388.40001869202</v>
      </c>
      <c r="F39" s="16">
        <f>E39/SUM($E$5:$E$84)</f>
        <v/>
      </c>
      <c r="G39" s="13">
        <f>SUM($E$5:E39)/SUM($E$5:$E$84)-F39</f>
        <v/>
      </c>
      <c r="H39" s="9">
        <f>IF(E39&lt;=0,"C",IF(G39&lt;0.8,"A",IF(G39&lt;0.95,"B","C")))</f>
        <v/>
      </c>
      <c r="I39" s="17" t="n">
        <v>0.2061564541908405</v>
      </c>
      <c r="J39" s="9">
        <f>IF(ISNUMBER(I39),IF(I39&lt;=0.5,"X",IF(I39&lt;=1,"Y","Z")),"Z")</f>
        <v/>
      </c>
      <c r="K39" s="9">
        <f>H39&amp;J39</f>
        <v/>
      </c>
      <c r="L39" s="9" t="inlineStr">
        <is>
          <t>BX</t>
        </is>
      </c>
    </row>
    <row r="40">
      <c r="A40" s="9" t="inlineStr">
        <is>
          <t>SYN_FOODS_3_007_CA_1</t>
        </is>
      </c>
      <c r="B40" s="9" t="inlineStr">
        <is>
          <t>FOODS</t>
        </is>
      </c>
      <c r="C40" s="9" t="inlineStr">
        <is>
          <t>CA_1</t>
        </is>
      </c>
      <c r="D40" s="10" t="n">
        <v>2970</v>
      </c>
      <c r="E40" s="11" t="n">
        <v>8308.259759902954</v>
      </c>
      <c r="F40" s="16">
        <f>E40/SUM($E$5:$E$84)</f>
        <v/>
      </c>
      <c r="G40" s="13">
        <f>SUM($E$5:E40)/SUM($E$5:$E$84)-F40</f>
        <v/>
      </c>
      <c r="H40" s="9">
        <f>IF(E40&lt;=0,"C",IF(G40&lt;0.8,"A",IF(G40&lt;0.95,"B","C")))</f>
        <v/>
      </c>
      <c r="I40" s="17" t="n">
        <v>0.1374970482048521</v>
      </c>
      <c r="J40" s="9">
        <f>IF(ISNUMBER(I40),IF(I40&lt;=0.5,"X",IF(I40&lt;=1,"Y","Z")),"Z")</f>
        <v/>
      </c>
      <c r="K40" s="9">
        <f>H40&amp;J40</f>
        <v/>
      </c>
      <c r="L40" s="9" t="inlineStr">
        <is>
          <t>BX</t>
        </is>
      </c>
    </row>
    <row r="41">
      <c r="A41" s="9" t="inlineStr">
        <is>
          <t>SYN_FOODS_1_001_CA_1</t>
        </is>
      </c>
      <c r="B41" s="9" t="inlineStr">
        <is>
          <t>FOODS</t>
        </is>
      </c>
      <c r="C41" s="9" t="inlineStr">
        <is>
          <t>CA_1</t>
        </is>
      </c>
      <c r="D41" s="10" t="n">
        <v>1472</v>
      </c>
      <c r="E41" s="11" t="n">
        <v>7776.800178527832</v>
      </c>
      <c r="F41" s="16">
        <f>E41/SUM($E$5:$E$84)</f>
        <v/>
      </c>
      <c r="G41" s="13">
        <f>SUM($E$5:E41)/SUM($E$5:$E$84)-F41</f>
        <v/>
      </c>
      <c r="H41" s="9">
        <f>IF(E41&lt;=0,"C",IF(G41&lt;0.8,"A",IF(G41&lt;0.95,"B","C")))</f>
        <v/>
      </c>
      <c r="I41" s="17" t="n">
        <v>0.3443188378794935</v>
      </c>
      <c r="J41" s="9">
        <f>IF(ISNUMBER(I41),IF(I41&lt;=0.5,"X",IF(I41&lt;=1,"Y","Z")),"Z")</f>
        <v/>
      </c>
      <c r="K41" s="9">
        <f>H41&amp;J41</f>
        <v/>
      </c>
      <c r="L41" s="9" t="inlineStr">
        <is>
          <t>BX</t>
        </is>
      </c>
    </row>
    <row r="42">
      <c r="A42" s="9" t="inlineStr">
        <is>
          <t>SYN_HOUSEHOLD_2_005_CA_1</t>
        </is>
      </c>
      <c r="B42" s="9" t="inlineStr">
        <is>
          <t>HOUSEHOLD</t>
        </is>
      </c>
      <c r="C42" s="9" t="inlineStr">
        <is>
          <t>CA_1</t>
        </is>
      </c>
      <c r="D42" s="10" t="n">
        <v>362</v>
      </c>
      <c r="E42" s="11" t="n">
        <v>6895.279722213745</v>
      </c>
      <c r="F42" s="16">
        <f>E42/SUM($E$5:$E$84)</f>
        <v/>
      </c>
      <c r="G42" s="13">
        <f>SUM($E$5:E42)/SUM($E$5:$E$84)-F42</f>
        <v/>
      </c>
      <c r="H42" s="9">
        <f>IF(E42&lt;=0,"C",IF(G42&lt;0.8,"A",IF(G42&lt;0.95,"B","C")))</f>
        <v/>
      </c>
      <c r="I42" s="17" t="n">
        <v>0.4612865574700871</v>
      </c>
      <c r="J42" s="9">
        <f>IF(ISNUMBER(I42),IF(I42&lt;=0.5,"X",IF(I42&lt;=1,"Y","Z")),"Z")</f>
        <v/>
      </c>
      <c r="K42" s="9">
        <f>H42&amp;J42</f>
        <v/>
      </c>
      <c r="L42" s="9" t="inlineStr">
        <is>
          <t>BX</t>
        </is>
      </c>
    </row>
    <row r="43">
      <c r="A43" s="9" t="inlineStr">
        <is>
          <t>SYN_FOODS_3_002_CA_2</t>
        </is>
      </c>
      <c r="B43" s="9" t="inlineStr">
        <is>
          <t>FOODS</t>
        </is>
      </c>
      <c r="C43" s="9" t="inlineStr">
        <is>
          <t>CA_2</t>
        </is>
      </c>
      <c r="D43" s="10" t="n">
        <v>1936</v>
      </c>
      <c r="E43" s="11" t="n">
        <v>6650.910089969635</v>
      </c>
      <c r="F43" s="16">
        <f>E43/SUM($E$5:$E$84)</f>
        <v/>
      </c>
      <c r="G43" s="13">
        <f>SUM($E$5:E43)/SUM($E$5:$E$84)-F43</f>
        <v/>
      </c>
      <c r="H43" s="9">
        <f>IF(E43&lt;=0,"C",IF(G43&lt;0.8,"A",IF(G43&lt;0.95,"B","C")))</f>
        <v/>
      </c>
      <c r="I43" s="17" t="n">
        <v>0.3272191978536633</v>
      </c>
      <c r="J43" s="9">
        <f>IF(ISNUMBER(I43),IF(I43&lt;=0.5,"X",IF(I43&lt;=1,"Y","Z")),"Z")</f>
        <v/>
      </c>
      <c r="K43" s="9">
        <f>H43&amp;J43</f>
        <v/>
      </c>
      <c r="L43" s="9" t="inlineStr">
        <is>
          <t>BX</t>
        </is>
      </c>
    </row>
    <row r="44">
      <c r="A44" s="9" t="inlineStr">
        <is>
          <t>SYN_HOUSEHOLD_2_007_CA_1</t>
        </is>
      </c>
      <c r="B44" s="9" t="inlineStr">
        <is>
          <t>HOUSEHOLD</t>
        </is>
      </c>
      <c r="C44" s="9" t="inlineStr">
        <is>
          <t>CA_1</t>
        </is>
      </c>
      <c r="D44" s="10" t="n">
        <v>321</v>
      </c>
      <c r="E44" s="11" t="n">
        <v>6196.410183906555</v>
      </c>
      <c r="F44" s="16">
        <f>E44/SUM($E$5:$E$84)</f>
        <v/>
      </c>
      <c r="G44" s="13">
        <f>SUM($E$5:E44)/SUM($E$5:$E$84)-F44</f>
        <v/>
      </c>
      <c r="H44" s="9">
        <f>IF(E44&lt;=0,"C",IF(G44&lt;0.8,"A",IF(G44&lt;0.95,"B","C")))</f>
        <v/>
      </c>
      <c r="I44" s="17" t="n">
        <v>0.4689774664405486</v>
      </c>
      <c r="J44" s="9">
        <f>IF(ISNUMBER(I44),IF(I44&lt;=0.5,"X",IF(I44&lt;=1,"Y","Z")),"Z")</f>
        <v/>
      </c>
      <c r="K44" s="9">
        <f>H44&amp;J44</f>
        <v/>
      </c>
      <c r="L44" s="9" t="inlineStr">
        <is>
          <t>BX</t>
        </is>
      </c>
    </row>
    <row r="45">
      <c r="A45" s="9" t="inlineStr">
        <is>
          <t>SYN_FOODS_3_003_CA_1</t>
        </is>
      </c>
      <c r="B45" s="9" t="inlineStr">
        <is>
          <t>FOODS</t>
        </is>
      </c>
      <c r="C45" s="9" t="inlineStr">
        <is>
          <t>CA_1</t>
        </is>
      </c>
      <c r="D45" s="10" t="n">
        <v>3385</v>
      </c>
      <c r="E45" s="11" t="n">
        <v>6114.620175719261</v>
      </c>
      <c r="F45" s="16">
        <f>E45/SUM($E$5:$E$84)</f>
        <v/>
      </c>
      <c r="G45" s="13">
        <f>SUM($E$5:E45)/SUM($E$5:$E$84)-F45</f>
        <v/>
      </c>
      <c r="H45" s="9">
        <f>IF(E45&lt;=0,"C",IF(G45&lt;0.8,"A",IF(G45&lt;0.95,"B","C")))</f>
        <v/>
      </c>
      <c r="I45" s="17" t="n">
        <v>0.335601970186565</v>
      </c>
      <c r="J45" s="9">
        <f>IF(ISNUMBER(I45),IF(I45&lt;=0.5,"X",IF(I45&lt;=1,"Y","Z")),"Z")</f>
        <v/>
      </c>
      <c r="K45" s="9">
        <f>H45&amp;J45</f>
        <v/>
      </c>
      <c r="L45" s="9" t="inlineStr">
        <is>
          <t>BX</t>
        </is>
      </c>
    </row>
    <row r="46">
      <c r="A46" s="9" t="inlineStr">
        <is>
          <t>SYN_FOODS_3_004_CA_1</t>
        </is>
      </c>
      <c r="B46" s="9" t="inlineStr">
        <is>
          <t>FOODS</t>
        </is>
      </c>
      <c r="C46" s="9" t="inlineStr">
        <is>
          <t>CA_1</t>
        </is>
      </c>
      <c r="D46" s="10" t="n">
        <v>4457</v>
      </c>
      <c r="E46" s="11" t="n">
        <v>6106.090021252632</v>
      </c>
      <c r="F46" s="16">
        <f>E46/SUM($E$5:$E$84)</f>
        <v/>
      </c>
      <c r="G46" s="13">
        <f>SUM($E$5:E46)/SUM($E$5:$E$84)-F46</f>
        <v/>
      </c>
      <c r="H46" s="9">
        <f>IF(E46&lt;=0,"C",IF(G46&lt;0.8,"A",IF(G46&lt;0.95,"B","C")))</f>
        <v/>
      </c>
      <c r="I46" s="17" t="n">
        <v>0.1139937204753558</v>
      </c>
      <c r="J46" s="9">
        <f>IF(ISNUMBER(I46),IF(I46&lt;=0.5,"X",IF(I46&lt;=1,"Y","Z")),"Z")</f>
        <v/>
      </c>
      <c r="K46" s="9">
        <f>H46&amp;J46</f>
        <v/>
      </c>
      <c r="L46" s="9" t="inlineStr">
        <is>
          <t>BX</t>
        </is>
      </c>
    </row>
    <row r="47">
      <c r="A47" s="9" t="inlineStr">
        <is>
          <t>SYN_HOUSEHOLD_2_005_CA_2</t>
        </is>
      </c>
      <c r="B47" s="9" t="inlineStr">
        <is>
          <t>HOUSEHOLD</t>
        </is>
      </c>
      <c r="C47" s="9" t="inlineStr">
        <is>
          <t>CA_2</t>
        </is>
      </c>
      <c r="D47" s="10" t="n">
        <v>311</v>
      </c>
      <c r="E47" s="11" t="n">
        <v>5895.259767532349</v>
      </c>
      <c r="F47" s="16">
        <f>E47/SUM($E$5:$E$84)</f>
        <v/>
      </c>
      <c r="G47" s="13">
        <f>SUM($E$5:E47)/SUM($E$5:$E$84)-F47</f>
        <v/>
      </c>
      <c r="H47" s="9">
        <f>IF(E47&lt;=0,"C",IF(G47&lt;0.8,"A",IF(G47&lt;0.95,"B","C")))</f>
        <v/>
      </c>
      <c r="I47" s="17" t="n">
        <v>0.4664902821501863</v>
      </c>
      <c r="J47" s="9">
        <f>IF(ISNUMBER(I47),IF(I47&lt;=0.5,"X",IF(I47&lt;=1,"Y","Z")),"Z")</f>
        <v/>
      </c>
      <c r="K47" s="9">
        <f>H47&amp;J47</f>
        <v/>
      </c>
      <c r="L47" s="9" t="inlineStr">
        <is>
          <t>BX</t>
        </is>
      </c>
    </row>
    <row r="48">
      <c r="A48" s="9" t="inlineStr">
        <is>
          <t>SYN_FOODS_1_002_CA_2</t>
        </is>
      </c>
      <c r="B48" s="9" t="inlineStr">
        <is>
          <t>FOODS</t>
        </is>
      </c>
      <c r="C48" s="9" t="inlineStr">
        <is>
          <t>CA_2</t>
        </is>
      </c>
      <c r="D48" s="10" t="n">
        <v>2289</v>
      </c>
      <c r="E48" s="11" t="n">
        <v>5540.08013010025</v>
      </c>
      <c r="F48" s="16">
        <f>E48/SUM($E$5:$E$84)</f>
        <v/>
      </c>
      <c r="G48" s="13">
        <f>SUM($E$5:E48)/SUM($E$5:$E$84)-F48</f>
        <v/>
      </c>
      <c r="H48" s="9">
        <f>IF(E48&lt;=0,"C",IF(G48&lt;0.8,"A",IF(G48&lt;0.95,"B","C")))</f>
        <v/>
      </c>
      <c r="I48" s="17" t="n">
        <v>0.1429349894893136</v>
      </c>
      <c r="J48" s="9">
        <f>IF(ISNUMBER(I48),IF(I48&lt;=0.5,"X",IF(I48&lt;=1,"Y","Z")),"Z")</f>
        <v/>
      </c>
      <c r="K48" s="9">
        <f>H48&amp;J48</f>
        <v/>
      </c>
      <c r="L48" s="9" t="inlineStr">
        <is>
          <t>BX</t>
        </is>
      </c>
    </row>
    <row r="49">
      <c r="A49" s="9" t="inlineStr">
        <is>
          <t>SYN_FOODS_1_008_CA_1</t>
        </is>
      </c>
      <c r="B49" s="9" t="inlineStr">
        <is>
          <t>FOODS</t>
        </is>
      </c>
      <c r="C49" s="9" t="inlineStr">
        <is>
          <t>CA_1</t>
        </is>
      </c>
      <c r="D49" s="10" t="n">
        <v>855</v>
      </c>
      <c r="E49" s="11" t="n">
        <v>5451.539950370789</v>
      </c>
      <c r="F49" s="16">
        <f>E49/SUM($E$5:$E$84)</f>
        <v/>
      </c>
      <c r="G49" s="13">
        <f>SUM($E$5:E49)/SUM($E$5:$E$84)-F49</f>
        <v/>
      </c>
      <c r="H49" s="9">
        <f>IF(E49&lt;=0,"C",IF(G49&lt;0.8,"A",IF(G49&lt;0.95,"B","C")))</f>
        <v/>
      </c>
      <c r="I49" s="17" t="n">
        <v>0.3545110155560297</v>
      </c>
      <c r="J49" s="9">
        <f>IF(ISNUMBER(I49),IF(I49&lt;=0.5,"X",IF(I49&lt;=1,"Y","Z")),"Z")</f>
        <v/>
      </c>
      <c r="K49" s="9">
        <f>H49&amp;J49</f>
        <v/>
      </c>
      <c r="L49" s="9" t="inlineStr">
        <is>
          <t>CX</t>
        </is>
      </c>
    </row>
    <row r="50">
      <c r="A50" s="9" t="inlineStr">
        <is>
          <t>SYN_HOUSEHOLD_2_008_CA_2</t>
        </is>
      </c>
      <c r="B50" s="9" t="inlineStr">
        <is>
          <t>HOUSEHOLD</t>
        </is>
      </c>
      <c r="C50" s="9" t="inlineStr">
        <is>
          <t>CA_2</t>
        </is>
      </c>
      <c r="D50" s="10" t="n">
        <v>1279</v>
      </c>
      <c r="E50" s="11" t="n">
        <v>5322.619760513306</v>
      </c>
      <c r="F50" s="16">
        <f>E50/SUM($E$5:$E$84)</f>
        <v/>
      </c>
      <c r="G50" s="13">
        <f>SUM($E$5:E50)/SUM($E$5:$E$84)-F50</f>
        <v/>
      </c>
      <c r="H50" s="9">
        <f>IF(E50&lt;=0,"C",IF(G50&lt;0.8,"A",IF(G50&lt;0.95,"B","C")))</f>
        <v/>
      </c>
      <c r="I50" s="17" t="n">
        <v>0.3973153484374769</v>
      </c>
      <c r="J50" s="9">
        <f>IF(ISNUMBER(I50),IF(I50&lt;=0.5,"X",IF(I50&lt;=1,"Y","Z")),"Z")</f>
        <v/>
      </c>
      <c r="K50" s="9">
        <f>H50&amp;J50</f>
        <v/>
      </c>
      <c r="L50" s="9" t="inlineStr">
        <is>
          <t>CX</t>
        </is>
      </c>
    </row>
    <row r="51">
      <c r="A51" s="9" t="inlineStr">
        <is>
          <t>SYN_HOUSEHOLD_1_004_CA_2</t>
        </is>
      </c>
      <c r="B51" s="9" t="inlineStr">
        <is>
          <t>HOUSEHOLD</t>
        </is>
      </c>
      <c r="C51" s="9" t="inlineStr">
        <is>
          <t>CA_2</t>
        </is>
      </c>
      <c r="D51" s="10" t="n">
        <v>467</v>
      </c>
      <c r="E51" s="11" t="n">
        <v>5161.72984790802</v>
      </c>
      <c r="F51" s="16">
        <f>E51/SUM($E$5:$E$84)</f>
        <v/>
      </c>
      <c r="G51" s="13">
        <f>SUM($E$5:E51)/SUM($E$5:$E$84)-F51</f>
        <v/>
      </c>
      <c r="H51" s="9">
        <f>IF(E51&lt;=0,"C",IF(G51&lt;0.8,"A",IF(G51&lt;0.95,"B","C")))</f>
        <v/>
      </c>
      <c r="I51" s="17" t="n">
        <v>0.3928996675466914</v>
      </c>
      <c r="J51" s="9">
        <f>IF(ISNUMBER(I51),IF(I51&lt;=0.5,"X",IF(I51&lt;=1,"Y","Z")),"Z")</f>
        <v/>
      </c>
      <c r="K51" s="9">
        <f>H51&amp;J51</f>
        <v/>
      </c>
      <c r="L51" s="9" t="inlineStr">
        <is>
          <t>CX</t>
        </is>
      </c>
    </row>
    <row r="52">
      <c r="A52" s="9" t="inlineStr">
        <is>
          <t>SYN_HOBBIES_1_003_CA_1</t>
        </is>
      </c>
      <c r="B52" s="9" t="inlineStr">
        <is>
          <t>HOBBIES</t>
        </is>
      </c>
      <c r="C52" s="9" t="inlineStr">
        <is>
          <t>CA_1</t>
        </is>
      </c>
      <c r="D52" s="10" t="n">
        <v>278</v>
      </c>
      <c r="E52" s="11" t="n">
        <v>5068.860000610352</v>
      </c>
      <c r="F52" s="16">
        <f>E52/SUM($E$5:$E$84)</f>
        <v/>
      </c>
      <c r="G52" s="13">
        <f>SUM($E$5:E52)/SUM($E$5:$E$84)-F52</f>
        <v/>
      </c>
      <c r="H52" s="9">
        <f>IF(E52&lt;=0,"C",IF(G52&lt;0.8,"A",IF(G52&lt;0.95,"B","C")))</f>
        <v/>
      </c>
      <c r="I52" s="17" t="n">
        <v>0.9207508924187716</v>
      </c>
      <c r="J52" s="9">
        <f>IF(ISNUMBER(I52),IF(I52&lt;=0.5,"X",IF(I52&lt;=1,"Y","Z")),"Z")</f>
        <v/>
      </c>
      <c r="K52" s="9">
        <f>H52&amp;J52</f>
        <v/>
      </c>
      <c r="L52" s="9" t="inlineStr">
        <is>
          <t>CY</t>
        </is>
      </c>
    </row>
    <row r="53">
      <c r="A53" s="9" t="inlineStr">
        <is>
          <t>SYN_HOBBIES_1_006_CA_1</t>
        </is>
      </c>
      <c r="B53" s="9" t="inlineStr">
        <is>
          <t>HOBBIES</t>
        </is>
      </c>
      <c r="C53" s="9" t="inlineStr">
        <is>
          <t>CA_1</t>
        </is>
      </c>
      <c r="D53" s="10" t="n">
        <v>348</v>
      </c>
      <c r="E53" s="11" t="n">
        <v>4852.800121307373</v>
      </c>
      <c r="F53" s="16">
        <f>E53/SUM($E$5:$E$84)</f>
        <v/>
      </c>
      <c r="G53" s="13">
        <f>SUM($E$5:E53)/SUM($E$5:$E$84)-F53</f>
        <v/>
      </c>
      <c r="H53" s="9">
        <f>IF(E53&lt;=0,"C",IF(G53&lt;0.8,"A",IF(G53&lt;0.95,"B","C")))</f>
        <v/>
      </c>
      <c r="I53" s="17" t="n">
        <v>1.102240906586239</v>
      </c>
      <c r="J53" s="9">
        <f>IF(ISNUMBER(I53),IF(I53&lt;=0.5,"X",IF(I53&lt;=1,"Y","Z")),"Z")</f>
        <v/>
      </c>
      <c r="K53" s="9">
        <f>H53&amp;J53</f>
        <v/>
      </c>
      <c r="L53" s="9" t="inlineStr">
        <is>
          <t>CZ</t>
        </is>
      </c>
    </row>
    <row r="54">
      <c r="A54" s="9" t="inlineStr">
        <is>
          <t>SYN_FOODS_3_003_CA_2</t>
        </is>
      </c>
      <c r="B54" s="9" t="inlineStr">
        <is>
          <t>FOODS</t>
        </is>
      </c>
      <c r="C54" s="9" t="inlineStr">
        <is>
          <t>CA_2</t>
        </is>
      </c>
      <c r="D54" s="10" t="n">
        <v>2580</v>
      </c>
      <c r="E54" s="11" t="n">
        <v>4577.520130634308</v>
      </c>
      <c r="F54" s="16">
        <f>E54/SUM($E$5:$E$84)</f>
        <v/>
      </c>
      <c r="G54" s="13">
        <f>SUM($E$5:E54)/SUM($E$5:$E$84)-F54</f>
        <v/>
      </c>
      <c r="H54" s="9">
        <f>IF(E54&lt;=0,"C",IF(G54&lt;0.8,"A",IF(G54&lt;0.95,"B","C")))</f>
        <v/>
      </c>
      <c r="I54" s="17" t="n">
        <v>0.3863347133899765</v>
      </c>
      <c r="J54" s="9">
        <f>IF(ISNUMBER(I54),IF(I54&lt;=0.5,"X",IF(I54&lt;=1,"Y","Z")),"Z")</f>
        <v/>
      </c>
      <c r="K54" s="9">
        <f>H54&amp;J54</f>
        <v/>
      </c>
      <c r="L54" s="9" t="inlineStr">
        <is>
          <t>CX</t>
        </is>
      </c>
    </row>
    <row r="55">
      <c r="A55" s="9" t="inlineStr">
        <is>
          <t>SYN_HOBBIES_1_001_CA_2</t>
        </is>
      </c>
      <c r="B55" s="9" t="inlineStr">
        <is>
          <t>HOBBIES</t>
        </is>
      </c>
      <c r="C55" s="9" t="inlineStr">
        <is>
          <t>CA_2</t>
        </is>
      </c>
      <c r="D55" s="10" t="n">
        <v>495</v>
      </c>
      <c r="E55" s="11" t="n">
        <v>4563.630027294159</v>
      </c>
      <c r="F55" s="16">
        <f>E55/SUM($E$5:$E$84)</f>
        <v/>
      </c>
      <c r="G55" s="13">
        <f>SUM($E$5:E55)/SUM($E$5:$E$84)-F55</f>
        <v/>
      </c>
      <c r="H55" s="9">
        <f>IF(E55&lt;=0,"C",IF(G55&lt;0.8,"A",IF(G55&lt;0.95,"B","C")))</f>
        <v/>
      </c>
      <c r="I55" s="17" t="n">
        <v>0.4630689592194403</v>
      </c>
      <c r="J55" s="9">
        <f>IF(ISNUMBER(I55),IF(I55&lt;=0.5,"X",IF(I55&lt;=1,"Y","Z")),"Z")</f>
        <v/>
      </c>
      <c r="K55" s="9">
        <f>H55&amp;J55</f>
        <v/>
      </c>
      <c r="L55" s="9" t="inlineStr">
        <is>
          <t>CX</t>
        </is>
      </c>
    </row>
    <row r="56">
      <c r="A56" s="9" t="inlineStr">
        <is>
          <t>SYN_FOODS_2_005_CA_1</t>
        </is>
      </c>
      <c r="B56" s="9" t="inlineStr">
        <is>
          <t>FOODS</t>
        </is>
      </c>
      <c r="C56" s="9" t="inlineStr">
        <is>
          <t>CA_1</t>
        </is>
      </c>
      <c r="D56" s="10" t="n">
        <v>612</v>
      </c>
      <c r="E56" s="11" t="n">
        <v>4513.209890365601</v>
      </c>
      <c r="F56" s="16">
        <f>E56/SUM($E$5:$E$84)</f>
        <v/>
      </c>
      <c r="G56" s="13">
        <f>SUM($E$5:E56)/SUM($E$5:$E$84)-F56</f>
        <v/>
      </c>
      <c r="H56" s="9">
        <f>IF(E56&lt;=0,"C",IF(G56&lt;0.8,"A",IF(G56&lt;0.95,"B","C")))</f>
        <v/>
      </c>
      <c r="I56" s="17" t="n">
        <v>0.7764838352071801</v>
      </c>
      <c r="J56" s="9">
        <f>IF(ISNUMBER(I56),IF(I56&lt;=0.5,"X",IF(I56&lt;=1,"Y","Z")),"Z")</f>
        <v/>
      </c>
      <c r="K56" s="9">
        <f>H56&amp;J56</f>
        <v/>
      </c>
      <c r="L56" s="9" t="inlineStr">
        <is>
          <t>CY</t>
        </is>
      </c>
    </row>
    <row r="57">
      <c r="A57" s="9" t="inlineStr">
        <is>
          <t>SYN_HOUSEHOLD_1_008_CA_1</t>
        </is>
      </c>
      <c r="B57" s="9" t="inlineStr">
        <is>
          <t>HOUSEHOLD</t>
        </is>
      </c>
      <c r="C57" s="9" t="inlineStr">
        <is>
          <t>CA_1</t>
        </is>
      </c>
      <c r="D57" s="10" t="n">
        <v>1213</v>
      </c>
      <c r="E57" s="11" t="n">
        <v>4127.199991941452</v>
      </c>
      <c r="F57" s="16">
        <f>E57/SUM($E$5:$E$84)</f>
        <v/>
      </c>
      <c r="G57" s="13">
        <f>SUM($E$5:E57)/SUM($E$5:$E$84)-F57</f>
        <v/>
      </c>
      <c r="H57" s="9">
        <f>IF(E57&lt;=0,"C",IF(G57&lt;0.8,"A",IF(G57&lt;0.95,"B","C")))</f>
        <v/>
      </c>
      <c r="I57" s="17" t="n">
        <v>0.2277480075908044</v>
      </c>
      <c r="J57" s="9">
        <f>IF(ISNUMBER(I57),IF(I57&lt;=0.5,"X",IF(I57&lt;=1,"Y","Z")),"Z")</f>
        <v/>
      </c>
      <c r="K57" s="9">
        <f>H57&amp;J57</f>
        <v/>
      </c>
      <c r="L57" s="9" t="inlineStr">
        <is>
          <t>CX</t>
        </is>
      </c>
    </row>
    <row r="58">
      <c r="A58" s="9" t="inlineStr">
        <is>
          <t>SYN_HOBBIES_1_003_CA_2</t>
        </is>
      </c>
      <c r="B58" s="9" t="inlineStr">
        <is>
          <t>HOBBIES</t>
        </is>
      </c>
      <c r="C58" s="9" t="inlineStr">
        <is>
          <t>CA_2</t>
        </is>
      </c>
      <c r="D58" s="10" t="n">
        <v>207</v>
      </c>
      <c r="E58" s="11" t="n">
        <v>3837.489992141724</v>
      </c>
      <c r="F58" s="16">
        <f>E58/SUM($E$5:$E$84)</f>
        <v/>
      </c>
      <c r="G58" s="13">
        <f>SUM($E$5:E58)/SUM($E$5:$E$84)-F58</f>
        <v/>
      </c>
      <c r="H58" s="9">
        <f>IF(E58&lt;=0,"C",IF(G58&lt;0.8,"A",IF(G58&lt;0.95,"B","C")))</f>
        <v/>
      </c>
      <c r="I58" s="17" t="n">
        <v>1.325995378315417</v>
      </c>
      <c r="J58" s="9">
        <f>IF(ISNUMBER(I58),IF(I58&lt;=0.5,"X",IF(I58&lt;=1,"Y","Z")),"Z")</f>
        <v/>
      </c>
      <c r="K58" s="9">
        <f>H58&amp;J58</f>
        <v/>
      </c>
      <c r="L58" s="9" t="inlineStr">
        <is>
          <t>CZ</t>
        </is>
      </c>
    </row>
    <row r="59">
      <c r="A59" s="9" t="inlineStr">
        <is>
          <t>SYN_HOBBIES_1_004_CA_2</t>
        </is>
      </c>
      <c r="B59" s="9" t="inlineStr">
        <is>
          <t>HOBBIES</t>
        </is>
      </c>
      <c r="C59" s="9" t="inlineStr">
        <is>
          <t>CA_2</t>
        </is>
      </c>
      <c r="D59" s="10" t="n">
        <v>316</v>
      </c>
      <c r="E59" s="11" t="n">
        <v>3303.999894142151</v>
      </c>
      <c r="F59" s="16">
        <f>E59/SUM($E$5:$E$84)</f>
        <v/>
      </c>
      <c r="G59" s="13">
        <f>SUM($E$5:E59)/SUM($E$5:$E$84)-F59</f>
        <v/>
      </c>
      <c r="H59" s="9">
        <f>IF(E59&lt;=0,"C",IF(G59&lt;0.8,"A",IF(G59&lt;0.95,"B","C")))</f>
        <v/>
      </c>
      <c r="I59" s="17" t="n">
        <v>0.4209245639359289</v>
      </c>
      <c r="J59" s="9">
        <f>IF(ISNUMBER(I59),IF(I59&lt;=0.5,"X",IF(I59&lt;=1,"Y","Z")),"Z")</f>
        <v/>
      </c>
      <c r="K59" s="9">
        <f>H59&amp;J59</f>
        <v/>
      </c>
      <c r="L59" s="9" t="inlineStr">
        <is>
          <t>CX</t>
        </is>
      </c>
    </row>
    <row r="60">
      <c r="A60" s="9" t="inlineStr">
        <is>
          <t>SYN_HOBBIES_1_005_CA_2</t>
        </is>
      </c>
      <c r="B60" s="9" t="inlineStr">
        <is>
          <t>HOBBIES</t>
        </is>
      </c>
      <c r="C60" s="9" t="inlineStr">
        <is>
          <t>CA_2</t>
        </is>
      </c>
      <c r="D60" s="10" t="n">
        <v>292</v>
      </c>
      <c r="E60" s="11" t="n">
        <v>3179.739919662476</v>
      </c>
      <c r="F60" s="16">
        <f>E60/SUM($E$5:$E$84)</f>
        <v/>
      </c>
      <c r="G60" s="13">
        <f>SUM($E$5:E60)/SUM($E$5:$E$84)-F60</f>
        <v/>
      </c>
      <c r="H60" s="9">
        <f>IF(E60&lt;=0,"C",IF(G60&lt;0.8,"A",IF(G60&lt;0.95,"B","C")))</f>
        <v/>
      </c>
      <c r="I60" s="17" t="n">
        <v>0.5196778002386129</v>
      </c>
      <c r="J60" s="9">
        <f>IF(ISNUMBER(I60),IF(I60&lt;=0.5,"X",IF(I60&lt;=1,"Y","Z")),"Z")</f>
        <v/>
      </c>
      <c r="K60" s="9">
        <f>H60&amp;J60</f>
        <v/>
      </c>
      <c r="L60" s="9" t="inlineStr">
        <is>
          <t>CY</t>
        </is>
      </c>
    </row>
    <row r="61">
      <c r="A61" s="9" t="inlineStr">
        <is>
          <t>SYN_FOODS_2_003_CA_2</t>
        </is>
      </c>
      <c r="B61" s="9" t="inlineStr">
        <is>
          <t>FOODS</t>
        </is>
      </c>
      <c r="C61" s="9" t="inlineStr">
        <is>
          <t>CA_2</t>
        </is>
      </c>
      <c r="D61" s="10" t="n">
        <v>1767</v>
      </c>
      <c r="E61" s="11" t="n">
        <v>2977.380081653595</v>
      </c>
      <c r="F61" s="16">
        <f>E61/SUM($E$5:$E$84)</f>
        <v/>
      </c>
      <c r="G61" s="13">
        <f>SUM($E$5:E61)/SUM($E$5:$E$84)-F61</f>
        <v/>
      </c>
      <c r="H61" s="9">
        <f>IF(E61&lt;=0,"C",IF(G61&lt;0.8,"A",IF(G61&lt;0.95,"B","C")))</f>
        <v/>
      </c>
      <c r="I61" s="17" t="n">
        <v>0.1775764661956426</v>
      </c>
      <c r="J61" s="9">
        <f>IF(ISNUMBER(I61),IF(I61&lt;=0.5,"X",IF(I61&lt;=1,"Y","Z")),"Z")</f>
        <v/>
      </c>
      <c r="K61" s="9">
        <f>H61&amp;J61</f>
        <v/>
      </c>
      <c r="L61" s="9" t="inlineStr">
        <is>
          <t>CX</t>
        </is>
      </c>
    </row>
    <row r="62">
      <c r="A62" s="9" t="inlineStr">
        <is>
          <t>SYN_FOODS_3_002_CA_1</t>
        </is>
      </c>
      <c r="B62" s="9" t="inlineStr">
        <is>
          <t>FOODS</t>
        </is>
      </c>
      <c r="C62" s="9" t="inlineStr">
        <is>
          <t>CA_1</t>
        </is>
      </c>
      <c r="D62" s="10" t="n">
        <v>814</v>
      </c>
      <c r="E62" s="11" t="n">
        <v>2765.520035266876</v>
      </c>
      <c r="F62" s="16">
        <f>E62/SUM($E$5:$E$84)</f>
        <v/>
      </c>
      <c r="G62" s="13">
        <f>SUM($E$5:E62)/SUM($E$5:$E$84)-F62</f>
        <v/>
      </c>
      <c r="H62" s="9">
        <f>IF(E62&lt;=0,"C",IF(G62&lt;0.8,"A",IF(G62&lt;0.95,"B","C")))</f>
        <v/>
      </c>
      <c r="I62" s="17" t="n">
        <v>0.3737552210281361</v>
      </c>
      <c r="J62" s="9">
        <f>IF(ISNUMBER(I62),IF(I62&lt;=0.5,"X",IF(I62&lt;=1,"Y","Z")),"Z")</f>
        <v/>
      </c>
      <c r="K62" s="9">
        <f>H62&amp;J62</f>
        <v/>
      </c>
      <c r="L62" s="9" t="inlineStr">
        <is>
          <t>CX</t>
        </is>
      </c>
    </row>
    <row r="63">
      <c r="A63" s="9" t="inlineStr">
        <is>
          <t>SYN_HOBBIES_1_006_CA_2</t>
        </is>
      </c>
      <c r="B63" s="9" t="inlineStr">
        <is>
          <t>HOBBIES</t>
        </is>
      </c>
      <c r="C63" s="9" t="inlineStr">
        <is>
          <t>CA_2</t>
        </is>
      </c>
      <c r="D63" s="10" t="n">
        <v>183</v>
      </c>
      <c r="E63" s="11" t="n">
        <v>2579.130063056946</v>
      </c>
      <c r="F63" s="16">
        <f>E63/SUM($E$5:$E$84)</f>
        <v/>
      </c>
      <c r="G63" s="13">
        <f>SUM($E$5:E63)/SUM($E$5:$E$84)-F63</f>
        <v/>
      </c>
      <c r="H63" s="9">
        <f>IF(E63&lt;=0,"C",IF(G63&lt;0.8,"A",IF(G63&lt;0.95,"B","C")))</f>
        <v/>
      </c>
      <c r="I63" s="17" t="n">
        <v>1.088936360036573</v>
      </c>
      <c r="J63" s="9">
        <f>IF(ISNUMBER(I63),IF(I63&lt;=0.5,"X",IF(I63&lt;=1,"Y","Z")),"Z")</f>
        <v/>
      </c>
      <c r="K63" s="9">
        <f>H63&amp;J63</f>
        <v/>
      </c>
      <c r="L63" s="9" t="inlineStr">
        <is>
          <t>CZ</t>
        </is>
      </c>
    </row>
    <row r="64">
      <c r="A64" s="9" t="inlineStr">
        <is>
          <t>SYN_HOBBIES_1_008_CA_2</t>
        </is>
      </c>
      <c r="B64" s="9" t="inlineStr">
        <is>
          <t>HOBBIES</t>
        </is>
      </c>
      <c r="C64" s="9" t="inlineStr">
        <is>
          <t>CA_2</t>
        </is>
      </c>
      <c r="D64" s="10" t="n">
        <v>138</v>
      </c>
      <c r="E64" s="11" t="n">
        <v>2356.130049705505</v>
      </c>
      <c r="F64" s="16">
        <f>E64/SUM($E$5:$E$84)</f>
        <v/>
      </c>
      <c r="G64" s="13">
        <f>SUM($E$5:E64)/SUM($E$5:$E$84)-F64</f>
        <v/>
      </c>
      <c r="H64" s="9">
        <f>IF(E64&lt;=0,"C",IF(G64&lt;0.8,"A",IF(G64&lt;0.95,"B","C")))</f>
        <v/>
      </c>
      <c r="I64" s="17" t="n">
        <v>1.216748365385684</v>
      </c>
      <c r="J64" s="9">
        <f>IF(ISNUMBER(I64),IF(I64&lt;=0.5,"X",IF(I64&lt;=1,"Y","Z")),"Z")</f>
        <v/>
      </c>
      <c r="K64" s="9">
        <f>H64&amp;J64</f>
        <v/>
      </c>
      <c r="L64" s="9" t="inlineStr">
        <is>
          <t>CZ</t>
        </is>
      </c>
    </row>
    <row r="65">
      <c r="A65" s="9" t="inlineStr">
        <is>
          <t>SYN_HOBBIES_1_002_CA_2</t>
        </is>
      </c>
      <c r="B65" s="9" t="inlineStr">
        <is>
          <t>HOBBIES</t>
        </is>
      </c>
      <c r="C65" s="9" t="inlineStr">
        <is>
          <t>CA_2</t>
        </is>
      </c>
      <c r="D65" s="10" t="n">
        <v>126</v>
      </c>
      <c r="E65" s="11" t="n">
        <v>2250.289935112</v>
      </c>
      <c r="F65" s="16">
        <f>E65/SUM($E$5:$E$84)</f>
        <v/>
      </c>
      <c r="G65" s="13">
        <f>SUM($E$5:E65)/SUM($E$5:$E$84)-F65</f>
        <v/>
      </c>
      <c r="H65" s="9">
        <f>IF(E65&lt;=0,"C",IF(G65&lt;0.8,"A",IF(G65&lt;0.95,"B","C")))</f>
        <v/>
      </c>
      <c r="I65" s="17" t="n">
        <v>0.8662471380956983</v>
      </c>
      <c r="J65" s="9">
        <f>IF(ISNUMBER(I65),IF(I65&lt;=0.5,"X",IF(I65&lt;=1,"Y","Z")),"Z")</f>
        <v/>
      </c>
      <c r="K65" s="9">
        <f>H65&amp;J65</f>
        <v/>
      </c>
      <c r="L65" s="9" t="inlineStr">
        <is>
          <t>CY</t>
        </is>
      </c>
    </row>
    <row r="66">
      <c r="A66" s="9" t="inlineStr">
        <is>
          <t>SYN_HOBBIES_2_002_CA_1</t>
        </is>
      </c>
      <c r="B66" s="9" t="inlineStr">
        <is>
          <t>HOBBIES</t>
        </is>
      </c>
      <c r="C66" s="9" t="inlineStr">
        <is>
          <t>CA_1</t>
        </is>
      </c>
      <c r="D66" s="10" t="n">
        <v>158</v>
      </c>
      <c r="E66" s="11" t="n">
        <v>2225.299982070923</v>
      </c>
      <c r="F66" s="16">
        <f>E66/SUM($E$5:$E$84)</f>
        <v/>
      </c>
      <c r="G66" s="13">
        <f>SUM($E$5:E66)/SUM($E$5:$E$84)-F66</f>
        <v/>
      </c>
      <c r="H66" s="9">
        <f>IF(E66&lt;=0,"C",IF(G66&lt;0.8,"A",IF(G66&lt;0.95,"B","C")))</f>
        <v/>
      </c>
      <c r="I66" s="17" t="n">
        <v>0.8521683007538251</v>
      </c>
      <c r="J66" s="9">
        <f>IF(ISNUMBER(I66),IF(I66&lt;=0.5,"X",IF(I66&lt;=1,"Y","Z")),"Z")</f>
        <v/>
      </c>
      <c r="K66" s="9">
        <f>H66&amp;J66</f>
        <v/>
      </c>
      <c r="L66" s="9" t="inlineStr">
        <is>
          <t>CY</t>
        </is>
      </c>
    </row>
    <row r="67">
      <c r="A67" s="9" t="inlineStr">
        <is>
          <t>SYN_HOBBIES_1_004_CA_1</t>
        </is>
      </c>
      <c r="B67" s="9" t="inlineStr">
        <is>
          <t>HOBBIES</t>
        </is>
      </c>
      <c r="C67" s="9" t="inlineStr">
        <is>
          <t>CA_1</t>
        </is>
      </c>
      <c r="D67" s="10" t="n">
        <v>204</v>
      </c>
      <c r="E67" s="11" t="n">
        <v>2105.079933166504</v>
      </c>
      <c r="F67" s="16">
        <f>E67/SUM($E$5:$E$84)</f>
        <v/>
      </c>
      <c r="G67" s="13">
        <f>SUM($E$5:E67)/SUM($E$5:$E$84)-F67</f>
        <v/>
      </c>
      <c r="H67" s="9">
        <f>IF(E67&lt;=0,"C",IF(G67&lt;0.8,"A",IF(G67&lt;0.95,"B","C")))</f>
        <v/>
      </c>
      <c r="I67" s="17" t="n">
        <v>0.65978993948531</v>
      </c>
      <c r="J67" s="9">
        <f>IF(ISNUMBER(I67),IF(I67&lt;=0.5,"X",IF(I67&lt;=1,"Y","Z")),"Z")</f>
        <v/>
      </c>
      <c r="K67" s="9">
        <f>H67&amp;J67</f>
        <v/>
      </c>
      <c r="L67" s="9" t="inlineStr">
        <is>
          <t>CY</t>
        </is>
      </c>
    </row>
    <row r="68">
      <c r="A68" s="9" t="inlineStr">
        <is>
          <t>SYN_FOODS_2_005_CA_2</t>
        </is>
      </c>
      <c r="B68" s="9" t="inlineStr">
        <is>
          <t>FOODS</t>
        </is>
      </c>
      <c r="C68" s="9" t="inlineStr">
        <is>
          <t>CA_2</t>
        </is>
      </c>
      <c r="D68" s="10" t="n">
        <v>288</v>
      </c>
      <c r="E68" s="11" t="n">
        <v>2084.509954452514</v>
      </c>
      <c r="F68" s="16">
        <f>E68/SUM($E$5:$E$84)</f>
        <v/>
      </c>
      <c r="G68" s="13">
        <f>SUM($E$5:E68)/SUM($E$5:$E$84)-F68</f>
        <v/>
      </c>
      <c r="H68" s="9">
        <f>IF(E68&lt;=0,"C",IF(G68&lt;0.8,"A",IF(G68&lt;0.95,"B","C")))</f>
        <v/>
      </c>
      <c r="I68" s="17" t="n">
        <v>0.9617196494279716</v>
      </c>
      <c r="J68" s="9">
        <f>IF(ISNUMBER(I68),IF(I68&lt;=0.5,"X",IF(I68&lt;=1,"Y","Z")),"Z")</f>
        <v/>
      </c>
      <c r="K68" s="9">
        <f>H68&amp;J68</f>
        <v/>
      </c>
      <c r="L68" s="9" t="inlineStr">
        <is>
          <t>CY</t>
        </is>
      </c>
    </row>
    <row r="69">
      <c r="A69" s="9" t="inlineStr">
        <is>
          <t>SYN_FOODS_2_008_CA_1</t>
        </is>
      </c>
      <c r="B69" s="9" t="inlineStr">
        <is>
          <t>FOODS</t>
        </is>
      </c>
      <c r="C69" s="9" t="inlineStr">
        <is>
          <t>CA_1</t>
        </is>
      </c>
      <c r="D69" s="10" t="n">
        <v>300</v>
      </c>
      <c r="E69" s="11" t="n">
        <v>2067.420039176941</v>
      </c>
      <c r="F69" s="16">
        <f>E69/SUM($E$5:$E$84)</f>
        <v/>
      </c>
      <c r="G69" s="13">
        <f>SUM($E$5:E69)/SUM($E$5:$E$84)-F69</f>
        <v/>
      </c>
      <c r="H69" s="9">
        <f>IF(E69&lt;=0,"C",IF(G69&lt;0.8,"A",IF(G69&lt;0.95,"B","C")))</f>
        <v/>
      </c>
      <c r="I69" s="17" t="n">
        <v>0.4055819670869794</v>
      </c>
      <c r="J69" s="9">
        <f>IF(ISNUMBER(I69),IF(I69&lt;=0.5,"X",IF(I69&lt;=1,"Y","Z")),"Z")</f>
        <v/>
      </c>
      <c r="K69" s="9">
        <f>H69&amp;J69</f>
        <v/>
      </c>
      <c r="L69" s="9" t="inlineStr">
        <is>
          <t>CX</t>
        </is>
      </c>
    </row>
    <row r="70">
      <c r="A70" s="9" t="inlineStr">
        <is>
          <t>SYN_FOODS_2_006_CA_1</t>
        </is>
      </c>
      <c r="B70" s="9" t="inlineStr">
        <is>
          <t>FOODS</t>
        </is>
      </c>
      <c r="C70" s="9" t="inlineStr">
        <is>
          <t>CA_1</t>
        </is>
      </c>
      <c r="D70" s="10" t="n">
        <v>825</v>
      </c>
      <c r="E70" s="11" t="n">
        <v>1682.399940490723</v>
      </c>
      <c r="F70" s="16">
        <f>E70/SUM($E$5:$E$84)</f>
        <v/>
      </c>
      <c r="G70" s="13">
        <f>SUM($E$5:E70)/SUM($E$5:$E$84)-F70</f>
        <v/>
      </c>
      <c r="H70" s="9">
        <f>IF(E70&lt;=0,"C",IF(G70&lt;0.8,"A",IF(G70&lt;0.95,"B","C")))</f>
        <v/>
      </c>
      <c r="I70" s="17" t="n">
        <v>0.2253758192208007</v>
      </c>
      <c r="J70" s="9">
        <f>IF(ISNUMBER(I70),IF(I70&lt;=0.5,"X",IF(I70&lt;=1,"Y","Z")),"Z")</f>
        <v/>
      </c>
      <c r="K70" s="9">
        <f>H70&amp;J70</f>
        <v/>
      </c>
      <c r="L70" s="9" t="inlineStr">
        <is>
          <t>CX</t>
        </is>
      </c>
    </row>
    <row r="71">
      <c r="A71" s="9" t="inlineStr">
        <is>
          <t>SYN_HOBBIES_2_007_CA_1</t>
        </is>
      </c>
      <c r="B71" s="9" t="inlineStr">
        <is>
          <t>HOBBIES</t>
        </is>
      </c>
      <c r="C71" s="9" t="inlineStr">
        <is>
          <t>CA_1</t>
        </is>
      </c>
      <c r="D71" s="10" t="n">
        <v>478</v>
      </c>
      <c r="E71" s="11" t="n">
        <v>1670.959966182709</v>
      </c>
      <c r="F71" s="16">
        <f>E71/SUM($E$5:$E$84)</f>
        <v/>
      </c>
      <c r="G71" s="13">
        <f>SUM($E$5:E71)/SUM($E$5:$E$84)-F71</f>
        <v/>
      </c>
      <c r="H71" s="9">
        <f>IF(E71&lt;=0,"C",IF(G71&lt;0.8,"A",IF(G71&lt;0.95,"B","C")))</f>
        <v/>
      </c>
      <c r="I71" s="17" t="n">
        <v>0.3166437314315962</v>
      </c>
      <c r="J71" s="9">
        <f>IF(ISNUMBER(I71),IF(I71&lt;=0.5,"X",IF(I71&lt;=1,"Y","Z")),"Z")</f>
        <v/>
      </c>
      <c r="K71" s="9">
        <f>H71&amp;J71</f>
        <v/>
      </c>
      <c r="L71" s="9" t="inlineStr">
        <is>
          <t>CX</t>
        </is>
      </c>
    </row>
    <row r="72">
      <c r="A72" s="9" t="inlineStr">
        <is>
          <t>SYN_HOUSEHOLD_2_002_CA_2</t>
        </is>
      </c>
      <c r="B72" s="9" t="inlineStr">
        <is>
          <t>HOUSEHOLD</t>
        </is>
      </c>
      <c r="C72" s="9" t="inlineStr">
        <is>
          <t>CA_2</t>
        </is>
      </c>
      <c r="D72" s="10" t="n">
        <v>137</v>
      </c>
      <c r="E72" s="11" t="n">
        <v>1568.649973869324</v>
      </c>
      <c r="F72" s="16">
        <f>E72/SUM($E$5:$E$84)</f>
        <v/>
      </c>
      <c r="G72" s="13">
        <f>SUM($E$5:E72)/SUM($E$5:$E$84)-F72</f>
        <v/>
      </c>
      <c r="H72" s="9">
        <f>IF(E72&lt;=0,"C",IF(G72&lt;0.8,"A",IF(G72&lt;0.95,"B","C")))</f>
        <v/>
      </c>
      <c r="I72" s="17" t="n">
        <v>0.8438158257879372</v>
      </c>
      <c r="J72" s="9">
        <f>IF(ISNUMBER(I72),IF(I72&lt;=0.5,"X",IF(I72&lt;=1,"Y","Z")),"Z")</f>
        <v/>
      </c>
      <c r="K72" s="9">
        <f>H72&amp;J72</f>
        <v/>
      </c>
      <c r="L72" s="9" t="inlineStr">
        <is>
          <t>CY</t>
        </is>
      </c>
    </row>
    <row r="73">
      <c r="A73" s="9" t="inlineStr">
        <is>
          <t>SYN_FOODS_1_006_CA_2</t>
        </is>
      </c>
      <c r="B73" s="9" t="inlineStr">
        <is>
          <t>FOODS</t>
        </is>
      </c>
      <c r="C73" s="9" t="inlineStr">
        <is>
          <t>CA_2</t>
        </is>
      </c>
      <c r="D73" s="10" t="n">
        <v>483</v>
      </c>
      <c r="E73" s="11" t="n">
        <v>1565.109988689423</v>
      </c>
      <c r="F73" s="16">
        <f>E73/SUM($E$5:$E$84)</f>
        <v/>
      </c>
      <c r="G73" s="13">
        <f>SUM($E$5:E73)/SUM($E$5:$E$84)-F73</f>
        <v/>
      </c>
      <c r="H73" s="9">
        <f>IF(E73&lt;=0,"C",IF(G73&lt;0.8,"A",IF(G73&lt;0.95,"B","C")))</f>
        <v/>
      </c>
      <c r="I73" s="17" t="n">
        <v>0.5206331685056681</v>
      </c>
      <c r="J73" s="9">
        <f>IF(ISNUMBER(I73),IF(I73&lt;=0.5,"X",IF(I73&lt;=1,"Y","Z")),"Z")</f>
        <v/>
      </c>
      <c r="K73" s="9">
        <f>H73&amp;J73</f>
        <v/>
      </c>
      <c r="L73" s="9" t="inlineStr">
        <is>
          <t>CY</t>
        </is>
      </c>
    </row>
    <row r="74">
      <c r="A74" s="9" t="inlineStr">
        <is>
          <t>SYN_HOBBIES_1_005_CA_1</t>
        </is>
      </c>
      <c r="B74" s="9" t="inlineStr">
        <is>
          <t>HOBBIES</t>
        </is>
      </c>
      <c r="C74" s="9" t="inlineStr">
        <is>
          <t>CA_1</t>
        </is>
      </c>
      <c r="D74" s="10" t="n">
        <v>137</v>
      </c>
      <c r="E74" s="11" t="n">
        <v>1459.909972190857</v>
      </c>
      <c r="F74" s="16">
        <f>E74/SUM($E$5:$E$84)</f>
        <v/>
      </c>
      <c r="G74" s="13">
        <f>SUM($E$5:E74)/SUM($E$5:$E$84)-F74</f>
        <v/>
      </c>
      <c r="H74" s="9">
        <f>IF(E74&lt;=0,"C",IF(G74&lt;0.8,"A",IF(G74&lt;0.95,"B","C")))</f>
        <v/>
      </c>
      <c r="I74" s="17" t="n">
        <v>0.8571020633973709</v>
      </c>
      <c r="J74" s="9">
        <f>IF(ISNUMBER(I74),IF(I74&lt;=0.5,"X",IF(I74&lt;=1,"Y","Z")),"Z")</f>
        <v/>
      </c>
      <c r="K74" s="9">
        <f>H74&amp;J74</f>
        <v/>
      </c>
      <c r="L74" s="9" t="inlineStr">
        <is>
          <t>CY</t>
        </is>
      </c>
    </row>
    <row r="75">
      <c r="A75" s="9" t="inlineStr">
        <is>
          <t>SYN_HOBBIES_1_007_CA_1</t>
        </is>
      </c>
      <c r="B75" s="9" t="inlineStr">
        <is>
          <t>HOBBIES</t>
        </is>
      </c>
      <c r="C75" s="9" t="inlineStr">
        <is>
          <t>CA_1</t>
        </is>
      </c>
      <c r="D75" s="10" t="n">
        <v>275</v>
      </c>
      <c r="E75" s="11" t="n">
        <v>1391.990036964417</v>
      </c>
      <c r="F75" s="16">
        <f>E75/SUM($E$5:$E$84)</f>
        <v/>
      </c>
      <c r="G75" s="13">
        <f>SUM($E$5:E75)/SUM($E$5:$E$84)-F75</f>
        <v/>
      </c>
      <c r="H75" s="9">
        <f>IF(E75&lt;=0,"C",IF(G75&lt;0.8,"A",IF(G75&lt;0.95,"B","C")))</f>
        <v/>
      </c>
      <c r="I75" s="17" t="n">
        <v>0.5583493045360324</v>
      </c>
      <c r="J75" s="9">
        <f>IF(ISNUMBER(I75),IF(I75&lt;=0.5,"X",IF(I75&lt;=1,"Y","Z")),"Z")</f>
        <v/>
      </c>
      <c r="K75" s="9">
        <f>H75&amp;J75</f>
        <v/>
      </c>
      <c r="L75" s="9" t="inlineStr">
        <is>
          <t>CY</t>
        </is>
      </c>
    </row>
    <row r="76">
      <c r="A76" s="9" t="inlineStr">
        <is>
          <t>SYN_FOODS_2_004_CA_1</t>
        </is>
      </c>
      <c r="B76" s="9" t="inlineStr">
        <is>
          <t>FOODS</t>
        </is>
      </c>
      <c r="C76" s="9" t="inlineStr">
        <is>
          <t>CA_1</t>
        </is>
      </c>
      <c r="D76" s="10" t="n">
        <v>334</v>
      </c>
      <c r="E76" s="11" t="n">
        <v>943.7599635124208</v>
      </c>
      <c r="F76" s="16">
        <f>E76/SUM($E$5:$E$84)</f>
        <v/>
      </c>
      <c r="G76" s="13">
        <f>SUM($E$5:E76)/SUM($E$5:$E$84)-F76</f>
        <v/>
      </c>
      <c r="H76" s="9">
        <f>IF(E76&lt;=0,"C",IF(G76&lt;0.8,"A",IF(G76&lt;0.95,"B","C")))</f>
        <v/>
      </c>
      <c r="I76" s="17" t="n">
        <v>0.4363925133637013</v>
      </c>
      <c r="J76" s="9">
        <f>IF(ISNUMBER(I76),IF(I76&lt;=0.5,"X",IF(I76&lt;=1,"Y","Z")),"Z")</f>
        <v/>
      </c>
      <c r="K76" s="9">
        <f>H76&amp;J76</f>
        <v/>
      </c>
      <c r="L76" s="9" t="inlineStr">
        <is>
          <t>CX</t>
        </is>
      </c>
    </row>
    <row r="77">
      <c r="A77" s="9" t="inlineStr">
        <is>
          <t>SYN_FOODS_3_001_CA_2</t>
        </is>
      </c>
      <c r="B77" s="9" t="inlineStr">
        <is>
          <t>FOODS</t>
        </is>
      </c>
      <c r="C77" s="9" t="inlineStr">
        <is>
          <t>CA_2</t>
        </is>
      </c>
      <c r="D77" s="10" t="n">
        <v>663</v>
      </c>
      <c r="E77" s="11" t="n">
        <v>928.3899785280228</v>
      </c>
      <c r="F77" s="16">
        <f>E77/SUM($E$5:$E$84)</f>
        <v/>
      </c>
      <c r="G77" s="13">
        <f>SUM($E$5:E77)/SUM($E$5:$E$84)-F77</f>
        <v/>
      </c>
      <c r="H77" s="9">
        <f>IF(E77&lt;=0,"C",IF(G77&lt;0.8,"A",IF(G77&lt;0.95,"B","C")))</f>
        <v/>
      </c>
      <c r="I77" s="17" t="n">
        <v>0.3800912018898576</v>
      </c>
      <c r="J77" s="9">
        <f>IF(ISNUMBER(I77),IF(I77&lt;=0.5,"X",IF(I77&lt;=1,"Y","Z")),"Z")</f>
        <v/>
      </c>
      <c r="K77" s="9">
        <f>H77&amp;J77</f>
        <v/>
      </c>
      <c r="L77" s="9" t="inlineStr">
        <is>
          <t>CX</t>
        </is>
      </c>
    </row>
    <row r="78">
      <c r="A78" s="9" t="inlineStr">
        <is>
          <t>SYN_FOODS_1_005_CA_2</t>
        </is>
      </c>
      <c r="B78" s="9" t="inlineStr">
        <is>
          <t>FOODS</t>
        </is>
      </c>
      <c r="C78" s="9" t="inlineStr">
        <is>
          <t>CA_2</t>
        </is>
      </c>
      <c r="D78" s="10" t="n">
        <v>408</v>
      </c>
      <c r="E78" s="11" t="n">
        <v>873.9700338840485</v>
      </c>
      <c r="F78" s="16">
        <f>E78/SUM($E$5:$E$84)</f>
        <v/>
      </c>
      <c r="G78" s="13">
        <f>SUM($E$5:E78)/SUM($E$5:$E$84)-F78</f>
        <v/>
      </c>
      <c r="H78" s="9">
        <f>IF(E78&lt;=0,"C",IF(G78&lt;0.8,"A",IF(G78&lt;0.95,"B","C")))</f>
        <v/>
      </c>
      <c r="I78" s="17" t="n">
        <v>0.9312440470651648</v>
      </c>
      <c r="J78" s="9">
        <f>IF(ISNUMBER(I78),IF(I78&lt;=0.5,"X",IF(I78&lt;=1,"Y","Z")),"Z")</f>
        <v/>
      </c>
      <c r="K78" s="9">
        <f>H78&amp;J78</f>
        <v/>
      </c>
      <c r="L78" s="9" t="inlineStr">
        <is>
          <t>CY</t>
        </is>
      </c>
    </row>
    <row r="79">
      <c r="A79" s="9" t="inlineStr">
        <is>
          <t>SYN_FOODS_3_008_CA_1</t>
        </is>
      </c>
      <c r="B79" s="9" t="inlineStr">
        <is>
          <t>FOODS</t>
        </is>
      </c>
      <c r="C79" s="9" t="inlineStr">
        <is>
          <t>CA_1</t>
        </is>
      </c>
      <c r="D79" s="10" t="n">
        <v>186</v>
      </c>
      <c r="E79" s="11" t="n">
        <v>754.0400099754333</v>
      </c>
      <c r="F79" s="16">
        <f>E79/SUM($E$5:$E$84)</f>
        <v/>
      </c>
      <c r="G79" s="13">
        <f>SUM($E$5:E79)/SUM($E$5:$E$84)-F79</f>
        <v/>
      </c>
      <c r="H79" s="9">
        <f>IF(E79&lt;=0,"C",IF(G79&lt;0.8,"A",IF(G79&lt;0.95,"B","C")))</f>
        <v/>
      </c>
      <c r="I79" s="17" t="n">
        <v>0.7952771388946382</v>
      </c>
      <c r="J79" s="9">
        <f>IF(ISNUMBER(I79),IF(I79&lt;=0.5,"X",IF(I79&lt;=1,"Y","Z")),"Z")</f>
        <v/>
      </c>
      <c r="K79" s="9">
        <f>H79&amp;J79</f>
        <v/>
      </c>
      <c r="L79" s="9" t="inlineStr">
        <is>
          <t>CY</t>
        </is>
      </c>
    </row>
    <row r="80">
      <c r="A80" s="9" t="inlineStr">
        <is>
          <t>SYN_FOODS_1_003_CA_1</t>
        </is>
      </c>
      <c r="B80" s="9" t="inlineStr">
        <is>
          <t>FOODS</t>
        </is>
      </c>
      <c r="C80" s="9" t="inlineStr">
        <is>
          <t>CA_1</t>
        </is>
      </c>
      <c r="D80" s="10" t="n">
        <v>285</v>
      </c>
      <c r="E80" s="11" t="n">
        <v>753.6900172233582</v>
      </c>
      <c r="F80" s="16">
        <f>E80/SUM($E$5:$E$84)</f>
        <v/>
      </c>
      <c r="G80" s="13">
        <f>SUM($E$5:E80)/SUM($E$5:$E$84)-F80</f>
        <v/>
      </c>
      <c r="H80" s="9">
        <f>IF(E80&lt;=0,"C",IF(G80&lt;0.8,"A",IF(G80&lt;0.95,"B","C")))</f>
        <v/>
      </c>
      <c r="I80" s="17" t="n">
        <v>0.5865037308940183</v>
      </c>
      <c r="J80" s="9">
        <f>IF(ISNUMBER(I80),IF(I80&lt;=0.5,"X",IF(I80&lt;=1,"Y","Z")),"Z")</f>
        <v/>
      </c>
      <c r="K80" s="9">
        <f>H80&amp;J80</f>
        <v/>
      </c>
      <c r="L80" s="9" t="inlineStr">
        <is>
          <t>CY</t>
        </is>
      </c>
    </row>
    <row r="81">
      <c r="A81" s="9" t="inlineStr">
        <is>
          <t>SYN_FOODS_3_008_CA_2</t>
        </is>
      </c>
      <c r="B81" s="9" t="inlineStr">
        <is>
          <t>FOODS</t>
        </is>
      </c>
      <c r="C81" s="9" t="inlineStr">
        <is>
          <t>CA_2</t>
        </is>
      </c>
      <c r="D81" s="10" t="n">
        <v>144</v>
      </c>
      <c r="E81" s="11" t="n">
        <v>592.1800093650818</v>
      </c>
      <c r="F81" s="16">
        <f>E81/SUM($E$5:$E$84)</f>
        <v/>
      </c>
      <c r="G81" s="13">
        <f>SUM($E$5:E81)/SUM($E$5:$E$84)-F81</f>
        <v/>
      </c>
      <c r="H81" s="9">
        <f>IF(E81&lt;=0,"C",IF(G81&lt;0.8,"A",IF(G81&lt;0.95,"B","C")))</f>
        <v/>
      </c>
      <c r="I81" s="17" t="n">
        <v>0.8776178117386846</v>
      </c>
      <c r="J81" s="9">
        <f>IF(ISNUMBER(I81),IF(I81&lt;=0.5,"X",IF(I81&lt;=1,"Y","Z")),"Z")</f>
        <v/>
      </c>
      <c r="K81" s="9">
        <f>H81&amp;J81</f>
        <v/>
      </c>
      <c r="L81" s="9" t="inlineStr">
        <is>
          <t>CY</t>
        </is>
      </c>
    </row>
    <row r="82">
      <c r="A82" s="9" t="inlineStr">
        <is>
          <t>SYN_HOUSEHOLD_1_006_CA_2</t>
        </is>
      </c>
      <c r="B82" s="9" t="inlineStr">
        <is>
          <t>HOUSEHOLD</t>
        </is>
      </c>
      <c r="C82" s="9" t="inlineStr">
        <is>
          <t>CA_2</t>
        </is>
      </c>
      <c r="D82" s="10" t="n">
        <v>73</v>
      </c>
      <c r="E82" s="11" t="n">
        <v>562.1699962615967</v>
      </c>
      <c r="F82" s="16">
        <f>E82/SUM($E$5:$E$84)</f>
        <v/>
      </c>
      <c r="G82" s="13">
        <f>SUM($E$5:E82)/SUM($E$5:$E$84)-F82</f>
        <v/>
      </c>
      <c r="H82" s="9">
        <f>IF(E82&lt;=0,"C",IF(G82&lt;0.8,"A",IF(G82&lt;0.95,"B","C")))</f>
        <v/>
      </c>
      <c r="I82" s="17" t="n">
        <v>1.121950423531139</v>
      </c>
      <c r="J82" s="9">
        <f>IF(ISNUMBER(I82),IF(I82&lt;=0.5,"X",IF(I82&lt;=1,"Y","Z")),"Z")</f>
        <v/>
      </c>
      <c r="K82" s="9">
        <f>H82&amp;J82</f>
        <v/>
      </c>
      <c r="L82" s="9" t="inlineStr">
        <is>
          <t>CZ</t>
        </is>
      </c>
    </row>
    <row r="83">
      <c r="A83" s="9" t="inlineStr">
        <is>
          <t>SYN_HOUSEHOLD_1_001_CA_1</t>
        </is>
      </c>
      <c r="B83" s="9" t="inlineStr">
        <is>
          <t>HOUSEHOLD</t>
        </is>
      </c>
      <c r="C83" s="9" t="inlineStr">
        <is>
          <t>CA_1</t>
        </is>
      </c>
      <c r="D83" s="10" t="n">
        <v>128</v>
      </c>
      <c r="E83" s="11" t="n">
        <v>248.4300057888031</v>
      </c>
      <c r="F83" s="16">
        <f>E83/SUM($E$5:$E$84)</f>
        <v/>
      </c>
      <c r="G83" s="13">
        <f>SUM($E$5:E83)/SUM($E$5:$E$84)-F83</f>
        <v/>
      </c>
      <c r="H83" s="9">
        <f>IF(E83&lt;=0,"C",IF(G83&lt;0.8,"A",IF(G83&lt;0.95,"B","C")))</f>
        <v/>
      </c>
      <c r="I83" s="17" t="n">
        <v>0.8866305116651955</v>
      </c>
      <c r="J83" s="9">
        <f>IF(ISNUMBER(I83),IF(I83&lt;=0.5,"X",IF(I83&lt;=1,"Y","Z")),"Z")</f>
        <v/>
      </c>
      <c r="K83" s="9">
        <f>H83&amp;J83</f>
        <v/>
      </c>
      <c r="L83" s="9" t="inlineStr">
        <is>
          <t>CY</t>
        </is>
      </c>
    </row>
    <row r="84">
      <c r="A84" s="9" t="inlineStr">
        <is>
          <t>SYN_FOODS_2_004_CA_2</t>
        </is>
      </c>
      <c r="B84" s="9" t="inlineStr">
        <is>
          <t>FOODS</t>
        </is>
      </c>
      <c r="C84" s="9" t="inlineStr">
        <is>
          <t>CA_2</t>
        </is>
      </c>
      <c r="D84" s="10" t="n">
        <v>61</v>
      </c>
      <c r="E84" s="11" t="n">
        <v>174.4999930858612</v>
      </c>
      <c r="F84" s="16">
        <f>E84/SUM($E$5:$E$84)</f>
        <v/>
      </c>
      <c r="G84" s="13">
        <f>SUM($E$5:E84)/SUM($E$5:$E$84)-F84</f>
        <v/>
      </c>
      <c r="H84" s="9">
        <f>IF(E84&lt;=0,"C",IF(G84&lt;0.8,"A",IF(G84&lt;0.95,"B","C")))</f>
        <v/>
      </c>
      <c r="I84" s="17" t="n">
        <v>1.282540004772232</v>
      </c>
      <c r="J84" s="9">
        <f>IF(ISNUMBER(I84),IF(I84&lt;=0.5,"X",IF(I84&lt;=1,"Y","Z")),"Z")</f>
        <v/>
      </c>
      <c r="K84" s="9">
        <f>H84&amp;J84</f>
        <v/>
      </c>
      <c r="L84" s="9" t="inlineStr">
        <is>
          <t>CZ</t>
        </is>
      </c>
    </row>
  </sheetData>
  <autoFilter ref="A4:L8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17E83"/>
    <outlinePr summaryBelow="1" summaryRight="1"/>
    <pageSetUpPr/>
  </sheetPr>
  <dimension ref="A1:M9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7" customWidth="1" min="3" max="3"/>
    <col width="11" customWidth="1" min="4" max="4"/>
    <col width="12" customWidth="1" min="5" max="5"/>
    <col width="16" customWidth="1" min="6" max="6"/>
    <col width="10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2" customWidth="1" min="13" max="13"/>
  </cols>
  <sheetData>
    <row r="1">
      <c r="A1" s="1" t="inlineStr">
        <is>
          <t>Demand forecasts (MODELED, Python)</t>
        </is>
      </c>
    </row>
    <row r="2">
      <c r="A2" s="2" t="inlineStr">
        <is>
          <t>28-day forecasts after the last observed day. Holdout = final 28 observed days, never used for selection or tuning.</t>
        </is>
      </c>
    </row>
    <row r="4" ht="32" customHeight="1">
      <c r="A4" s="5" t="inlineStr">
        <is>
          <t>Series</t>
        </is>
      </c>
      <c r="B4" s="5" t="inlineStr">
        <is>
          <t>Item</t>
        </is>
      </c>
      <c r="C4" s="5" t="inlineStr">
        <is>
          <t>Store</t>
        </is>
      </c>
      <c r="D4" s="5" t="inlineStr">
        <is>
          <t>Category</t>
        </is>
      </c>
      <c r="E4" s="5" t="inlineStr">
        <is>
          <t>Pattern</t>
        </is>
      </c>
      <c r="F4" s="5" t="inlineStr">
        <is>
          <t>Selected method</t>
        </is>
      </c>
      <c r="G4" s="5" t="inlineStr">
        <is>
          <t>mu (units/day)</t>
        </is>
      </c>
      <c r="H4" s="5" t="inlineStr">
        <is>
          <t>28-day forecast</t>
        </is>
      </c>
      <c r="I4" s="5" t="inlineStr">
        <is>
          <t>sigma (daily error)</t>
        </is>
      </c>
      <c r="J4" s="5" t="inlineStr">
        <is>
          <t>Holdout MAE</t>
        </is>
      </c>
      <c r="K4" s="5" t="inlineStr">
        <is>
          <t>Holdout WAPE</t>
        </is>
      </c>
      <c r="L4" s="5" t="inlineStr">
        <is>
          <t>Seasonal-naive WAPE</t>
        </is>
      </c>
      <c r="M4" s="5" t="inlineStr">
        <is>
          <t>WAPE improvement vs naive</t>
        </is>
      </c>
    </row>
    <row r="5">
      <c r="A5" s="9" t="inlineStr">
        <is>
          <t>SYN_FOODS_1_001_CA_1</t>
        </is>
      </c>
      <c r="B5" s="9" t="inlineStr">
        <is>
          <t>SYN_FOODS_1_001</t>
        </is>
      </c>
      <c r="C5" s="9" t="inlineStr">
        <is>
          <t>CA_1</t>
        </is>
      </c>
      <c r="D5" s="9" t="inlineStr">
        <is>
          <t>FOODS</t>
        </is>
      </c>
      <c r="E5" s="9" t="inlineStr">
        <is>
          <t>erratic</t>
        </is>
      </c>
      <c r="F5" s="9" t="inlineStr">
        <is>
          <t>moving_average</t>
        </is>
      </c>
      <c r="G5" s="18" t="n">
        <v>4.410714285714287</v>
      </c>
      <c r="H5" s="12" t="n">
        <v>123.5</v>
      </c>
      <c r="I5" s="18" t="n">
        <v>3.815273743311889</v>
      </c>
      <c r="J5" s="18" t="n">
        <v>2.892857142857143</v>
      </c>
      <c r="K5" s="13" t="n">
        <v>0.6090225563909775</v>
      </c>
      <c r="L5" s="13" t="n">
        <v>0.9699248120300752</v>
      </c>
      <c r="M5" s="13">
        <f>IF(AND(ISNUMBER(K5),ISNUMBER(L5),L5&gt;0),1-K5/L5,"n/a")</f>
        <v/>
      </c>
    </row>
    <row r="6">
      <c r="A6" s="9" t="inlineStr">
        <is>
          <t>SYN_FOODS_1_003_CA_1</t>
        </is>
      </c>
      <c r="B6" s="9" t="inlineStr">
        <is>
          <t>SYN_FOODS_1_003</t>
        </is>
      </c>
      <c r="C6" s="9" t="inlineStr">
        <is>
          <t>CA_1</t>
        </is>
      </c>
      <c r="D6" s="9" t="inlineStr">
        <is>
          <t>FOODS</t>
        </is>
      </c>
      <c r="E6" s="9" t="inlineStr">
        <is>
          <t>intermittent</t>
        </is>
      </c>
      <c r="F6" s="9" t="inlineStr">
        <is>
          <t>moving_average</t>
        </is>
      </c>
      <c r="G6" s="18" t="n">
        <v>0.8214285714285717</v>
      </c>
      <c r="H6" s="12" t="n">
        <v>23.00000000000001</v>
      </c>
      <c r="I6" s="18" t="n">
        <v>1.212787940596584</v>
      </c>
      <c r="J6" s="18" t="n">
        <v>0.8214285714285714</v>
      </c>
      <c r="K6" s="13" t="n">
        <v>1</v>
      </c>
      <c r="L6" s="13" t="n">
        <v>1.782608695652174</v>
      </c>
      <c r="M6" s="13">
        <f>IF(AND(ISNUMBER(K6),ISNUMBER(L6),L6&gt;0),1-K6/L6,"n/a")</f>
        <v/>
      </c>
    </row>
    <row r="7">
      <c r="A7" s="9" t="inlineStr">
        <is>
          <t>SYN_FOODS_1_008_CA_1</t>
        </is>
      </c>
      <c r="B7" s="9" t="inlineStr">
        <is>
          <t>SYN_FOODS_1_008</t>
        </is>
      </c>
      <c r="C7" s="9" t="inlineStr">
        <is>
          <t>CA_1</t>
        </is>
      </c>
      <c r="D7" s="9" t="inlineStr">
        <is>
          <t>FOODS</t>
        </is>
      </c>
      <c r="E7" s="9" t="inlineStr">
        <is>
          <t>lumpy</t>
        </is>
      </c>
      <c r="F7" s="9" t="inlineStr">
        <is>
          <t>gbm</t>
        </is>
      </c>
      <c r="G7" s="18" t="n">
        <v>2.371931797947051</v>
      </c>
      <c r="H7" s="12" t="n">
        <v>66.41409034251743</v>
      </c>
      <c r="I7" s="18" t="n">
        <v>2.586700671411632</v>
      </c>
      <c r="J7" s="18" t="n">
        <v>1.367042287283753</v>
      </c>
      <c r="K7" s="13" t="n">
        <v>0.6075743499038901</v>
      </c>
      <c r="L7" s="13" t="n">
        <v>0.873015873015873</v>
      </c>
      <c r="M7" s="13">
        <f>IF(AND(ISNUMBER(K7),ISNUMBER(L7),L7&gt;0),1-K7/L7,"n/a")</f>
        <v/>
      </c>
    </row>
    <row r="8">
      <c r="A8" s="9" t="inlineStr">
        <is>
          <t>SYN_FOODS_1_009_CA_1</t>
        </is>
      </c>
      <c r="B8" s="9" t="inlineStr">
        <is>
          <t>SYN_FOODS_1_009</t>
        </is>
      </c>
      <c r="C8" s="9" t="inlineStr">
        <is>
          <t>CA_1</t>
        </is>
      </c>
      <c r="D8" s="9" t="inlineStr">
        <is>
          <t>FOODS</t>
        </is>
      </c>
      <c r="E8" s="9" t="inlineStr">
        <is>
          <t>smooth</t>
        </is>
      </c>
      <c r="F8" s="9" t="inlineStr">
        <is>
          <t>moving_average</t>
        </is>
      </c>
      <c r="G8" s="18" t="n">
        <v>13.73214285714285</v>
      </c>
      <c r="H8" s="12" t="n">
        <v>384.4999999999999</v>
      </c>
      <c r="I8" s="18" t="n">
        <v>4.27954168932514</v>
      </c>
      <c r="J8" s="18" t="n">
        <v>4.423469387755103</v>
      </c>
      <c r="K8" s="13" t="n">
        <v>0.31839882482556</v>
      </c>
      <c r="L8" s="13" t="n">
        <v>0.3470437017994858</v>
      </c>
      <c r="M8" s="13">
        <f>IF(AND(ISNUMBER(K8),ISNUMBER(L8),L8&gt;0),1-K8/L8,"n/a")</f>
        <v/>
      </c>
    </row>
    <row r="9">
      <c r="A9" s="9" t="inlineStr">
        <is>
          <t>SYN_FOODS_2_004_CA_1</t>
        </is>
      </c>
      <c r="B9" s="9" t="inlineStr">
        <is>
          <t>SYN_FOODS_2_004</t>
        </is>
      </c>
      <c r="C9" s="9" t="inlineStr">
        <is>
          <t>CA_1</t>
        </is>
      </c>
      <c r="D9" s="9" t="inlineStr">
        <is>
          <t>FOODS</t>
        </is>
      </c>
      <c r="E9" s="9" t="inlineStr">
        <is>
          <t>intermittent</t>
        </is>
      </c>
      <c r="F9" s="9" t="inlineStr">
        <is>
          <t>sba</t>
        </is>
      </c>
      <c r="G9" s="18" t="n">
        <v>0.9757014513015748</v>
      </c>
      <c r="H9" s="12" t="n">
        <v>27.31964063644409</v>
      </c>
      <c r="I9" s="18" t="n">
        <v>1.247839304044549</v>
      </c>
      <c r="J9" s="18" t="n">
        <v>0.9845212527683804</v>
      </c>
      <c r="K9" s="13" t="n">
        <v>1.148608128229777</v>
      </c>
      <c r="L9" s="13" t="n">
        <v>1</v>
      </c>
      <c r="M9" s="13">
        <f>IF(AND(ISNUMBER(K9),ISNUMBER(L9),L9&gt;0),1-K9/L9,"n/a")</f>
        <v/>
      </c>
    </row>
    <row r="10">
      <c r="A10" s="9" t="inlineStr">
        <is>
          <t>SYN_FOODS_2_005_CA_1</t>
        </is>
      </c>
      <c r="B10" s="9" t="inlineStr">
        <is>
          <t>SYN_FOODS_2_005</t>
        </is>
      </c>
      <c r="C10" s="9" t="inlineStr">
        <is>
          <t>CA_1</t>
        </is>
      </c>
      <c r="D10" s="9" t="inlineStr">
        <is>
          <t>FOODS</t>
        </is>
      </c>
      <c r="E10" s="9" t="inlineStr">
        <is>
          <t>lumpy</t>
        </is>
      </c>
      <c r="F10" s="9" t="inlineStr">
        <is>
          <t>seasonal_ma</t>
        </is>
      </c>
      <c r="G10" s="18" t="n">
        <v>1.5</v>
      </c>
      <c r="H10" s="12" t="n">
        <v>42</v>
      </c>
      <c r="I10" s="18" t="n">
        <v>2.894653322445169</v>
      </c>
      <c r="J10" s="18" t="n">
        <v>2.392857142857143</v>
      </c>
      <c r="K10" s="13" t="n">
        <v>1.196428571428571</v>
      </c>
      <c r="L10" s="13" t="n">
        <v>1.464285714285714</v>
      </c>
      <c r="M10" s="13">
        <f>IF(AND(ISNUMBER(K10),ISNUMBER(L10),L10&gt;0),1-K10/L10,"n/a")</f>
        <v/>
      </c>
    </row>
    <row r="11">
      <c r="A11" s="9" t="inlineStr">
        <is>
          <t>SYN_FOODS_2_006_CA_1</t>
        </is>
      </c>
      <c r="B11" s="9" t="inlineStr">
        <is>
          <t>SYN_FOODS_2_006</t>
        </is>
      </c>
      <c r="C11" s="9" t="inlineStr">
        <is>
          <t>CA_1</t>
        </is>
      </c>
      <c r="D11" s="9" t="inlineStr">
        <is>
          <t>FOODS</t>
        </is>
      </c>
      <c r="E11" s="9" t="inlineStr">
        <is>
          <t>smooth</t>
        </is>
      </c>
      <c r="F11" s="9" t="inlineStr">
        <is>
          <t>sba</t>
        </is>
      </c>
      <c r="G11" s="18" t="n">
        <v>1.866178870201111</v>
      </c>
      <c r="H11" s="12" t="n">
        <v>52.2530083656311</v>
      </c>
      <c r="I11" s="18" t="n">
        <v>1.479686501529771</v>
      </c>
      <c r="J11" s="18" t="n">
        <v>1.106321402958461</v>
      </c>
      <c r="K11" s="13" t="n">
        <v>0.5162833213806153</v>
      </c>
      <c r="L11" s="13" t="n">
        <v>0.6333333333333333</v>
      </c>
      <c r="M11" s="13">
        <f>IF(AND(ISNUMBER(K11),ISNUMBER(L11),L11&gt;0),1-K11/L11,"n/a")</f>
        <v/>
      </c>
    </row>
    <row r="12">
      <c r="A12" s="9" t="inlineStr">
        <is>
          <t>SYN_FOODS_2_008_CA_1</t>
        </is>
      </c>
      <c r="B12" s="9" t="inlineStr">
        <is>
          <t>SYN_FOODS_2_008</t>
        </is>
      </c>
      <c r="C12" s="9" t="inlineStr">
        <is>
          <t>CA_1</t>
        </is>
      </c>
      <c r="D12" s="9" t="inlineStr">
        <is>
          <t>FOODS</t>
        </is>
      </c>
      <c r="E12" s="9" t="inlineStr">
        <is>
          <t>intermittent</t>
        </is>
      </c>
      <c r="F12" s="9" t="inlineStr">
        <is>
          <t>sba</t>
        </is>
      </c>
      <c r="G12" s="18" t="n">
        <v>0.8087106943130493</v>
      </c>
      <c r="H12" s="12" t="n">
        <v>22.64389944076538</v>
      </c>
      <c r="I12" s="18" t="n">
        <v>1.032385826439701</v>
      </c>
      <c r="J12" s="18" t="n">
        <v>0.8571428571428571</v>
      </c>
      <c r="K12" s="13" t="n">
        <v>1</v>
      </c>
      <c r="L12" s="13" t="n">
        <v>1.5</v>
      </c>
      <c r="M12" s="13">
        <f>IF(AND(ISNUMBER(K12),ISNUMBER(L12),L12&gt;0),1-K12/L12,"n/a")</f>
        <v/>
      </c>
    </row>
    <row r="13">
      <c r="A13" s="9" t="inlineStr">
        <is>
          <t>SYN_FOODS_2_009_CA_1</t>
        </is>
      </c>
      <c r="B13" s="9" t="inlineStr">
        <is>
          <t>SYN_FOODS_2_009</t>
        </is>
      </c>
      <c r="C13" s="9" t="inlineStr">
        <is>
          <t>CA_1</t>
        </is>
      </c>
      <c r="D13" s="9" t="inlineStr">
        <is>
          <t>FOODS</t>
        </is>
      </c>
      <c r="E13" s="9" t="inlineStr">
        <is>
          <t>smooth</t>
        </is>
      </c>
      <c r="F13" s="9" t="inlineStr">
        <is>
          <t>gbm</t>
        </is>
      </c>
      <c r="G13" s="18" t="n">
        <v>28.87986394589249</v>
      </c>
      <c r="H13" s="12" t="n">
        <v>808.6361904849898</v>
      </c>
      <c r="I13" s="18" t="n">
        <v>7.494043729450441</v>
      </c>
      <c r="J13" s="18" t="n">
        <v>5.28958601657444</v>
      </c>
      <c r="K13" s="13" t="n">
        <v>0.1948794848211635</v>
      </c>
      <c r="L13" s="13" t="n">
        <v>0.2631578947368421</v>
      </c>
      <c r="M13" s="13">
        <f>IF(AND(ISNUMBER(K13),ISNUMBER(L13),L13&gt;0),1-K13/L13,"n/a")</f>
        <v/>
      </c>
    </row>
    <row r="14">
      <c r="A14" s="9" t="inlineStr">
        <is>
          <t>SYN_FOODS_3_002_CA_1</t>
        </is>
      </c>
      <c r="B14" s="9" t="inlineStr">
        <is>
          <t>SYN_FOODS_3_002</t>
        </is>
      </c>
      <c r="C14" s="9" t="inlineStr">
        <is>
          <t>CA_1</t>
        </is>
      </c>
      <c r="D14" s="9" t="inlineStr">
        <is>
          <t>FOODS</t>
        </is>
      </c>
      <c r="E14" s="9" t="inlineStr">
        <is>
          <t>erratic</t>
        </is>
      </c>
      <c r="F14" s="9" t="inlineStr">
        <is>
          <t>sba</t>
        </is>
      </c>
      <c r="G14" s="18" t="n">
        <v>2.032340049743652</v>
      </c>
      <c r="H14" s="12" t="n">
        <v>56.90552139282227</v>
      </c>
      <c r="I14" s="18" t="n">
        <v>2.298229270012248</v>
      </c>
      <c r="J14" s="18" t="n">
        <v>1.669158322470529</v>
      </c>
      <c r="K14" s="13" t="n">
        <v>0.8058005694685311</v>
      </c>
      <c r="L14" s="13" t="n">
        <v>1.137931034482759</v>
      </c>
      <c r="M14" s="13">
        <f>IF(AND(ISNUMBER(K14),ISNUMBER(L14),L14&gt;0),1-K14/L14,"n/a")</f>
        <v/>
      </c>
    </row>
    <row r="15">
      <c r="A15" s="9" t="inlineStr">
        <is>
          <t>SYN_FOODS_3_003_CA_1</t>
        </is>
      </c>
      <c r="B15" s="9" t="inlineStr">
        <is>
          <t>SYN_FOODS_3_003</t>
        </is>
      </c>
      <c r="C15" s="9" t="inlineStr">
        <is>
          <t>CA_1</t>
        </is>
      </c>
      <c r="D15" s="9" t="inlineStr">
        <is>
          <t>FOODS</t>
        </is>
      </c>
      <c r="E15" s="9" t="inlineStr">
        <is>
          <t>erratic</t>
        </is>
      </c>
      <c r="F15" s="9" t="inlineStr">
        <is>
          <t>sba</t>
        </is>
      </c>
      <c r="G15" s="18" t="n">
        <v>9.493672370910645</v>
      </c>
      <c r="H15" s="12" t="n">
        <v>265.822826385498</v>
      </c>
      <c r="I15" s="18" t="n">
        <v>8.252685096058311</v>
      </c>
      <c r="J15" s="18" t="n">
        <v>7.003361293247768</v>
      </c>
      <c r="K15" s="13" t="n">
        <v>0.7371959256050282</v>
      </c>
      <c r="L15" s="13" t="n">
        <v>1.218045112781955</v>
      </c>
      <c r="M15" s="13">
        <f>IF(AND(ISNUMBER(K15),ISNUMBER(L15),L15&gt;0),1-K15/L15,"n/a")</f>
        <v/>
      </c>
    </row>
    <row r="16">
      <c r="A16" s="9" t="inlineStr">
        <is>
          <t>SYN_FOODS_3_004_CA_1</t>
        </is>
      </c>
      <c r="B16" s="9" t="inlineStr">
        <is>
          <t>SYN_FOODS_3_004</t>
        </is>
      </c>
      <c r="C16" s="9" t="inlineStr">
        <is>
          <t>CA_1</t>
        </is>
      </c>
      <c r="D16" s="9" t="inlineStr">
        <is>
          <t>FOODS</t>
        </is>
      </c>
      <c r="E16" s="9" t="inlineStr">
        <is>
          <t>smooth</t>
        </is>
      </c>
      <c r="F16" s="9" t="inlineStr">
        <is>
          <t>gbm</t>
        </is>
      </c>
      <c r="G16" s="18" t="n">
        <v>11.96210526829345</v>
      </c>
      <c r="H16" s="12" t="n">
        <v>334.9389475122167</v>
      </c>
      <c r="I16" s="18" t="n">
        <v>3.550136285501008</v>
      </c>
      <c r="J16" s="18" t="n">
        <v>2.950819038324338</v>
      </c>
      <c r="K16" s="13" t="n">
        <v>0.251899186198419</v>
      </c>
      <c r="L16" s="13" t="n">
        <v>0.3841463414634146</v>
      </c>
      <c r="M16" s="13">
        <f>IF(AND(ISNUMBER(K16),ISNUMBER(L16),L16&gt;0),1-K16/L16,"n/a")</f>
        <v/>
      </c>
    </row>
    <row r="17">
      <c r="A17" s="9" t="inlineStr">
        <is>
          <t>SYN_FOODS_3_005_CA_1</t>
        </is>
      </c>
      <c r="B17" s="9" t="inlineStr">
        <is>
          <t>SYN_FOODS_3_005</t>
        </is>
      </c>
      <c r="C17" s="9" t="inlineStr">
        <is>
          <t>CA_1</t>
        </is>
      </c>
      <c r="D17" s="9" t="inlineStr">
        <is>
          <t>FOODS</t>
        </is>
      </c>
      <c r="E17" s="9" t="inlineStr">
        <is>
          <t>smooth</t>
        </is>
      </c>
      <c r="F17" s="9" t="inlineStr">
        <is>
          <t>gbm</t>
        </is>
      </c>
      <c r="G17" s="18" t="n">
        <v>21.61131788183022</v>
      </c>
      <c r="H17" s="12" t="n">
        <v>605.1169006912461</v>
      </c>
      <c r="I17" s="18" t="n">
        <v>4.717129612973562</v>
      </c>
      <c r="J17" s="18" t="n">
        <v>3.482190006965604</v>
      </c>
      <c r="K17" s="13" t="n">
        <v>0.1722638165990051</v>
      </c>
      <c r="L17" s="13" t="n">
        <v>0.1554770318021201</v>
      </c>
      <c r="M17" s="13">
        <f>IF(AND(ISNUMBER(K17),ISNUMBER(L17),L17&gt;0),1-K17/L17,"n/a")</f>
        <v/>
      </c>
    </row>
    <row r="18">
      <c r="A18" s="9" t="inlineStr">
        <is>
          <t>SYN_FOODS_3_007_CA_1</t>
        </is>
      </c>
      <c r="B18" s="9" t="inlineStr">
        <is>
          <t>SYN_FOODS_3_007</t>
        </is>
      </c>
      <c r="C18" s="9" t="inlineStr">
        <is>
          <t>CA_1</t>
        </is>
      </c>
      <c r="D18" s="9" t="inlineStr">
        <is>
          <t>FOODS</t>
        </is>
      </c>
      <c r="E18" s="9" t="inlineStr">
        <is>
          <t>smooth</t>
        </is>
      </c>
      <c r="F18" s="9" t="inlineStr">
        <is>
          <t>seasonal_ma</t>
        </is>
      </c>
      <c r="G18" s="18" t="n">
        <v>7.714285714285714</v>
      </c>
      <c r="H18" s="12" t="n">
        <v>216</v>
      </c>
      <c r="I18" s="18" t="n">
        <v>3.143729586698849</v>
      </c>
      <c r="J18" s="18" t="n">
        <v>2.928571428571428</v>
      </c>
      <c r="K18" s="13" t="n">
        <v>0.3867924528301887</v>
      </c>
      <c r="L18" s="13" t="n">
        <v>0.3584905660377358</v>
      </c>
      <c r="M18" s="13">
        <f>IF(AND(ISNUMBER(K18),ISNUMBER(L18),L18&gt;0),1-K18/L18,"n/a")</f>
        <v/>
      </c>
    </row>
    <row r="19">
      <c r="A19" s="9" t="inlineStr">
        <is>
          <t>SYN_FOODS_3_008_CA_1</t>
        </is>
      </c>
      <c r="B19" s="9" t="inlineStr">
        <is>
          <t>SYN_FOODS_3_008</t>
        </is>
      </c>
      <c r="C19" s="9" t="inlineStr">
        <is>
          <t>CA_1</t>
        </is>
      </c>
      <c r="D19" s="9" t="inlineStr">
        <is>
          <t>FOODS</t>
        </is>
      </c>
      <c r="E19" s="9" t="inlineStr">
        <is>
          <t>intermittent</t>
        </is>
      </c>
      <c r="F19" s="9" t="inlineStr">
        <is>
          <t>moving_average</t>
        </is>
      </c>
      <c r="G19" s="18" t="n">
        <v>0.5892857142857142</v>
      </c>
      <c r="H19" s="12" t="n">
        <v>16.5</v>
      </c>
      <c r="I19" s="18" t="n">
        <v>1.030931074534094</v>
      </c>
      <c r="J19" s="18" t="n">
        <v>0.8163265306122447</v>
      </c>
      <c r="K19" s="13" t="n">
        <v>1.632653061224489</v>
      </c>
      <c r="L19" s="13" t="n">
        <v>2.142857142857143</v>
      </c>
      <c r="M19" s="13">
        <f>IF(AND(ISNUMBER(K19),ISNUMBER(L19),L19&gt;0),1-K19/L19,"n/a")</f>
        <v/>
      </c>
    </row>
    <row r="20">
      <c r="A20" s="9" t="inlineStr">
        <is>
          <t>SYN_FOODS_3_009_CA_1</t>
        </is>
      </c>
      <c r="B20" s="9" t="inlineStr">
        <is>
          <t>SYN_FOODS_3_009</t>
        </is>
      </c>
      <c r="C20" s="9" t="inlineStr">
        <is>
          <t>CA_1</t>
        </is>
      </c>
      <c r="D20" s="9" t="inlineStr">
        <is>
          <t>FOODS</t>
        </is>
      </c>
      <c r="E20" s="9" t="inlineStr">
        <is>
          <t>smooth</t>
        </is>
      </c>
      <c r="F20" s="9" t="inlineStr">
        <is>
          <t>sba</t>
        </is>
      </c>
      <c r="G20" s="18" t="n">
        <v>18.0881233215332</v>
      </c>
      <c r="H20" s="12" t="n">
        <v>506.4674530029297</v>
      </c>
      <c r="I20" s="18" t="n">
        <v>4.747732225908924</v>
      </c>
      <c r="J20" s="18" t="n">
        <v>5.035714285714286</v>
      </c>
      <c r="K20" s="13" t="n">
        <v>0.2792079207920792</v>
      </c>
      <c r="L20" s="13" t="n">
        <v>0.3861386138613861</v>
      </c>
      <c r="M20" s="13">
        <f>IF(AND(ISNUMBER(K20),ISNUMBER(L20),L20&gt;0),1-K20/L20,"n/a")</f>
        <v/>
      </c>
    </row>
    <row r="21">
      <c r="A21" s="9" t="inlineStr">
        <is>
          <t>SYN_HOBBIES_1_001_CA_1</t>
        </is>
      </c>
      <c r="B21" s="9" t="inlineStr">
        <is>
          <t>SYN_HOBBIES_1_001</t>
        </is>
      </c>
      <c r="C21" s="9" t="inlineStr">
        <is>
          <t>CA_1</t>
        </is>
      </c>
      <c r="D21" s="9" t="inlineStr">
        <is>
          <t>HOBBIES</t>
        </is>
      </c>
      <c r="E21" s="9" t="inlineStr">
        <is>
          <t>erratic</t>
        </is>
      </c>
      <c r="F21" s="9" t="inlineStr">
        <is>
          <t>gbm</t>
        </is>
      </c>
      <c r="G21" s="18" t="n">
        <v>4.788872773898985</v>
      </c>
      <c r="H21" s="12" t="n">
        <v>134.0884376691716</v>
      </c>
      <c r="I21" s="18" t="n">
        <v>4.131402732724129</v>
      </c>
      <c r="J21" s="18" t="n">
        <v>2.700760732839906</v>
      </c>
      <c r="K21" s="13" t="n">
        <v>0.727127889610744</v>
      </c>
      <c r="L21" s="13" t="n">
        <v>0.75</v>
      </c>
      <c r="M21" s="13">
        <f>IF(AND(ISNUMBER(K21),ISNUMBER(L21),L21&gt;0),1-K21/L21,"n/a")</f>
        <v/>
      </c>
    </row>
    <row r="22">
      <c r="A22" s="9" t="inlineStr">
        <is>
          <t>SYN_HOBBIES_1_003_CA_1</t>
        </is>
      </c>
      <c r="B22" s="9" t="inlineStr">
        <is>
          <t>SYN_HOBBIES_1_003</t>
        </is>
      </c>
      <c r="C22" s="9" t="inlineStr">
        <is>
          <t>CA_1</t>
        </is>
      </c>
      <c r="D22" s="9" t="inlineStr">
        <is>
          <t>HOBBIES</t>
        </is>
      </c>
      <c r="E22" s="9" t="inlineStr">
        <is>
          <t>lumpy</t>
        </is>
      </c>
      <c r="F22" s="9" t="inlineStr">
        <is>
          <t>seasonal_naive</t>
        </is>
      </c>
      <c r="G22" s="18" t="n">
        <v>0.8571428571428571</v>
      </c>
      <c r="H22" s="12" t="n">
        <v>24</v>
      </c>
      <c r="I22" s="18" t="n">
        <v>2.414243448488869</v>
      </c>
      <c r="J22" s="18" t="n">
        <v>0.75</v>
      </c>
      <c r="K22" s="13" t="n">
        <v>1.105263157894737</v>
      </c>
      <c r="L22" s="13" t="n">
        <v>1.105263157894737</v>
      </c>
      <c r="M22" s="13">
        <f>IF(AND(ISNUMBER(K22),ISNUMBER(L22),L22&gt;0),1-K22/L22,"n/a")</f>
        <v/>
      </c>
    </row>
    <row r="23">
      <c r="A23" s="9" t="inlineStr">
        <is>
          <t>SYN_HOBBIES_1_004_CA_1</t>
        </is>
      </c>
      <c r="B23" s="9" t="inlineStr">
        <is>
          <t>SYN_HOBBIES_1_004</t>
        </is>
      </c>
      <c r="C23" s="9" t="inlineStr">
        <is>
          <t>CA_1</t>
        </is>
      </c>
      <c r="D23" s="9" t="inlineStr">
        <is>
          <t>HOBBIES</t>
        </is>
      </c>
      <c r="E23" s="9" t="inlineStr">
        <is>
          <t>intermittent</t>
        </is>
      </c>
      <c r="F23" s="9" t="inlineStr">
        <is>
          <t>seasonal_ma</t>
        </is>
      </c>
      <c r="G23" s="18" t="n">
        <v>0.5178571428571429</v>
      </c>
      <c r="H23" s="12" t="n">
        <v>14.5</v>
      </c>
      <c r="I23" s="18" t="n">
        <v>0.871165065546462</v>
      </c>
      <c r="J23" s="18" t="n">
        <v>0.7410714285714286</v>
      </c>
      <c r="K23" s="13" t="n">
        <v>1.296875</v>
      </c>
      <c r="L23" s="13" t="n">
        <v>1.375</v>
      </c>
      <c r="M23" s="13">
        <f>IF(AND(ISNUMBER(K23),ISNUMBER(L23),L23&gt;0),1-K23/L23,"n/a")</f>
        <v/>
      </c>
    </row>
    <row r="24">
      <c r="A24" s="9" t="inlineStr">
        <is>
          <t>SYN_HOBBIES_1_005_CA_1</t>
        </is>
      </c>
      <c r="B24" s="9" t="inlineStr">
        <is>
          <t>SYN_HOBBIES_1_005</t>
        </is>
      </c>
      <c r="C24" s="9" t="inlineStr">
        <is>
          <t>CA_1</t>
        </is>
      </c>
      <c r="D24" s="9" t="inlineStr">
        <is>
          <t>HOBBIES</t>
        </is>
      </c>
      <c r="E24" s="9" t="inlineStr">
        <is>
          <t>intermittent</t>
        </is>
      </c>
      <c r="F24" s="9" t="inlineStr">
        <is>
          <t>seasonal_naive</t>
        </is>
      </c>
      <c r="G24" s="18" t="n">
        <v>0.1428571428571428</v>
      </c>
      <c r="H24" s="12" t="n">
        <v>4</v>
      </c>
      <c r="I24" s="18" t="n">
        <v>1.010657494618514</v>
      </c>
      <c r="J24" s="18" t="n">
        <v>0.6071428571428571</v>
      </c>
      <c r="K24" s="13" t="n">
        <v>1.888888888888889</v>
      </c>
      <c r="L24" s="13" t="n">
        <v>1.888888888888889</v>
      </c>
      <c r="M24" s="13">
        <f>IF(AND(ISNUMBER(K24),ISNUMBER(L24),L24&gt;0),1-K24/L24,"n/a")</f>
        <v/>
      </c>
    </row>
    <row r="25">
      <c r="A25" s="9" t="inlineStr">
        <is>
          <t>SYN_HOBBIES_1_006_CA_1</t>
        </is>
      </c>
      <c r="B25" s="9" t="inlineStr">
        <is>
          <t>SYN_HOBBIES_1_006</t>
        </is>
      </c>
      <c r="C25" s="9" t="inlineStr">
        <is>
          <t>CA_1</t>
        </is>
      </c>
      <c r="D25" s="9" t="inlineStr">
        <is>
          <t>HOBBIES</t>
        </is>
      </c>
      <c r="E25" s="9" t="inlineStr">
        <is>
          <t>lumpy</t>
        </is>
      </c>
      <c r="F25" s="9" t="inlineStr">
        <is>
          <t>seasonal_naive</t>
        </is>
      </c>
      <c r="G25" s="18" t="n">
        <v>0.7142857142857143</v>
      </c>
      <c r="H25" s="12" t="n">
        <v>20</v>
      </c>
      <c r="I25" s="18" t="n">
        <v>2.84228278476499</v>
      </c>
      <c r="J25" s="18" t="n">
        <v>2.107142857142857</v>
      </c>
      <c r="K25" s="13" t="n">
        <v>2.809523809523809</v>
      </c>
      <c r="L25" s="13" t="n">
        <v>2.809523809523809</v>
      </c>
      <c r="M25" s="13">
        <f>IF(AND(ISNUMBER(K25),ISNUMBER(L25),L25&gt;0),1-K25/L25,"n/a")</f>
        <v/>
      </c>
    </row>
    <row r="26">
      <c r="A26" s="9" t="inlineStr">
        <is>
          <t>SYN_HOBBIES_1_007_CA_1</t>
        </is>
      </c>
      <c r="B26" s="9" t="inlineStr">
        <is>
          <t>SYN_HOBBIES_1_007</t>
        </is>
      </c>
      <c r="C26" s="9" t="inlineStr">
        <is>
          <t>CA_1</t>
        </is>
      </c>
      <c r="D26" s="9" t="inlineStr">
        <is>
          <t>HOBBIES</t>
        </is>
      </c>
      <c r="E26" s="9" t="inlineStr">
        <is>
          <t>lumpy</t>
        </is>
      </c>
      <c r="F26" s="9" t="inlineStr">
        <is>
          <t>sba</t>
        </is>
      </c>
      <c r="G26" s="18" t="n">
        <v>0.9467179775238036</v>
      </c>
      <c r="H26" s="12" t="n">
        <v>26.5081033706665</v>
      </c>
      <c r="I26" s="18" t="n">
        <v>1.313044515780908</v>
      </c>
      <c r="J26" s="18" t="n">
        <v>0.9316105246543884</v>
      </c>
      <c r="K26" s="13" t="n">
        <v>0.9316105246543884</v>
      </c>
      <c r="L26" s="13" t="n">
        <v>0.8571428571428571</v>
      </c>
      <c r="M26" s="13">
        <f>IF(AND(ISNUMBER(K26),ISNUMBER(L26),L26&gt;0),1-K26/L26,"n/a")</f>
        <v/>
      </c>
    </row>
    <row r="27">
      <c r="A27" s="9" t="inlineStr">
        <is>
          <t>SYN_HOBBIES_1_009_CA_1</t>
        </is>
      </c>
      <c r="B27" s="9" t="inlineStr">
        <is>
          <t>SYN_HOBBIES_1_009</t>
        </is>
      </c>
      <c r="C27" s="9" t="inlineStr">
        <is>
          <t>CA_1</t>
        </is>
      </c>
      <c r="D27" s="9" t="inlineStr">
        <is>
          <t>HOBBIES</t>
        </is>
      </c>
      <c r="E27" s="9" t="inlineStr">
        <is>
          <t>smooth</t>
        </is>
      </c>
      <c r="F27" s="9" t="inlineStr">
        <is>
          <t>sba</t>
        </is>
      </c>
      <c r="G27" s="18" t="n">
        <v>11.91146755218506</v>
      </c>
      <c r="H27" s="12" t="n">
        <v>333.5210914611816</v>
      </c>
      <c r="I27" s="18" t="n">
        <v>3.637241561018136</v>
      </c>
      <c r="J27" s="18" t="n">
        <v>3.382628849574498</v>
      </c>
      <c r="K27" s="13" t="n">
        <v>0.2745321964872056</v>
      </c>
      <c r="L27" s="13" t="n">
        <v>0.3565217391304348</v>
      </c>
      <c r="M27" s="13">
        <f>IF(AND(ISNUMBER(K27),ISNUMBER(L27),L27&gt;0),1-K27/L27,"n/a")</f>
        <v/>
      </c>
    </row>
    <row r="28">
      <c r="A28" s="9" t="inlineStr">
        <is>
          <t>SYN_HOBBIES_2_001_CA_1</t>
        </is>
      </c>
      <c r="B28" s="9" t="inlineStr">
        <is>
          <t>SYN_HOBBIES_2_001</t>
        </is>
      </c>
      <c r="C28" s="9" t="inlineStr">
        <is>
          <t>CA_1</t>
        </is>
      </c>
      <c r="D28" s="9" t="inlineStr">
        <is>
          <t>HOBBIES</t>
        </is>
      </c>
      <c r="E28" s="9" t="inlineStr">
        <is>
          <t>erratic</t>
        </is>
      </c>
      <c r="F28" s="9" t="inlineStr">
        <is>
          <t>sba</t>
        </is>
      </c>
      <c r="G28" s="18" t="n">
        <v>2.943248510360718</v>
      </c>
      <c r="H28" s="12" t="n">
        <v>82.4109582901001</v>
      </c>
      <c r="I28" s="18" t="n">
        <v>3.702258363862236</v>
      </c>
      <c r="J28" s="18" t="n">
        <v>3.042394127164568</v>
      </c>
      <c r="K28" s="13" t="n">
        <v>1.014131375721523</v>
      </c>
      <c r="L28" s="13" t="n">
        <v>1.119047619047619</v>
      </c>
      <c r="M28" s="13">
        <f>IF(AND(ISNUMBER(K28),ISNUMBER(L28),L28&gt;0),1-K28/L28,"n/a")</f>
        <v/>
      </c>
    </row>
    <row r="29">
      <c r="A29" s="9" t="inlineStr">
        <is>
          <t>SYN_HOBBIES_2_002_CA_1</t>
        </is>
      </c>
      <c r="B29" s="9" t="inlineStr">
        <is>
          <t>SYN_HOBBIES_2_002</t>
        </is>
      </c>
      <c r="C29" s="9" t="inlineStr">
        <is>
          <t>CA_1</t>
        </is>
      </c>
      <c r="D29" s="9" t="inlineStr">
        <is>
          <t>HOBBIES</t>
        </is>
      </c>
      <c r="E29" s="9" t="inlineStr">
        <is>
          <t>intermittent</t>
        </is>
      </c>
      <c r="F29" s="9" t="inlineStr">
        <is>
          <t>seasonal_ma</t>
        </is>
      </c>
      <c r="G29" s="18" t="n">
        <v>0.5535714285714286</v>
      </c>
      <c r="H29" s="12" t="n">
        <v>15.5</v>
      </c>
      <c r="I29" s="18" t="n">
        <v>1.019453635181961</v>
      </c>
      <c r="J29" s="18" t="n">
        <v>0.7767857142857143</v>
      </c>
      <c r="K29" s="13" t="n">
        <v>1.673076923076923</v>
      </c>
      <c r="L29" s="13" t="n">
        <v>1</v>
      </c>
      <c r="M29" s="13">
        <f>IF(AND(ISNUMBER(K29),ISNUMBER(L29),L29&gt;0),1-K29/L29,"n/a")</f>
        <v/>
      </c>
    </row>
    <row r="30">
      <c r="A30" s="9" t="inlineStr">
        <is>
          <t>SYN_HOBBIES_2_004_CA_1</t>
        </is>
      </c>
      <c r="B30" s="9" t="inlineStr">
        <is>
          <t>SYN_HOBBIES_2_004</t>
        </is>
      </c>
      <c r="C30" s="9" t="inlineStr">
        <is>
          <t>CA_1</t>
        </is>
      </c>
      <c r="D30" s="9" t="inlineStr">
        <is>
          <t>HOBBIES</t>
        </is>
      </c>
      <c r="E30" s="9" t="inlineStr">
        <is>
          <t>smooth</t>
        </is>
      </c>
      <c r="F30" s="9" t="inlineStr">
        <is>
          <t>gbm</t>
        </is>
      </c>
      <c r="G30" s="18" t="n">
        <v>32.11165911809682</v>
      </c>
      <c r="H30" s="12" t="n">
        <v>899.1264553067111</v>
      </c>
      <c r="I30" s="18" t="n">
        <v>7.849238451702051</v>
      </c>
      <c r="J30" s="18" t="n">
        <v>6.81126733540314</v>
      </c>
      <c r="K30" s="13" t="n">
        <v>0.1999114102634045</v>
      </c>
      <c r="L30" s="13" t="n">
        <v>0.2767295597484276</v>
      </c>
      <c r="M30" s="13">
        <f>IF(AND(ISNUMBER(K30),ISNUMBER(L30),L30&gt;0),1-K30/L30,"n/a")</f>
        <v/>
      </c>
    </row>
    <row r="31">
      <c r="A31" s="9" t="inlineStr">
        <is>
          <t>SYN_HOBBIES_2_005_CA_1</t>
        </is>
      </c>
      <c r="B31" s="9" t="inlineStr">
        <is>
          <t>SYN_HOBBIES_2_005</t>
        </is>
      </c>
      <c r="C31" s="9" t="inlineStr">
        <is>
          <t>CA_1</t>
        </is>
      </c>
      <c r="D31" s="9" t="inlineStr">
        <is>
          <t>HOBBIES</t>
        </is>
      </c>
      <c r="E31" s="9" t="inlineStr">
        <is>
          <t>smooth</t>
        </is>
      </c>
      <c r="F31" s="9" t="inlineStr">
        <is>
          <t>gbm</t>
        </is>
      </c>
      <c r="G31" s="18" t="n">
        <v>25.79610517635236</v>
      </c>
      <c r="H31" s="12" t="n">
        <v>722.2909449378661</v>
      </c>
      <c r="I31" s="18" t="n">
        <v>6.500804568474529</v>
      </c>
      <c r="J31" s="18" t="n">
        <v>5.003786652546318</v>
      </c>
      <c r="K31" s="13" t="n">
        <v>0.2060382739283778</v>
      </c>
      <c r="L31" s="13" t="n">
        <v>0.2088235294117647</v>
      </c>
      <c r="M31" s="13">
        <f>IF(AND(ISNUMBER(K31),ISNUMBER(L31),L31&gt;0),1-K31/L31,"n/a")</f>
        <v/>
      </c>
    </row>
    <row r="32">
      <c r="A32" s="9" t="inlineStr">
        <is>
          <t>SYN_HOBBIES_2_006_CA_1</t>
        </is>
      </c>
      <c r="B32" s="9" t="inlineStr">
        <is>
          <t>SYN_HOBBIES_2_006</t>
        </is>
      </c>
      <c r="C32" s="9" t="inlineStr">
        <is>
          <t>CA_1</t>
        </is>
      </c>
      <c r="D32" s="9" t="inlineStr">
        <is>
          <t>HOBBIES</t>
        </is>
      </c>
      <c r="E32" s="9" t="inlineStr">
        <is>
          <t>smooth</t>
        </is>
      </c>
      <c r="F32" s="9" t="inlineStr">
        <is>
          <t>gbm</t>
        </is>
      </c>
      <c r="G32" s="18" t="n">
        <v>29.10667708812781</v>
      </c>
      <c r="H32" s="12" t="n">
        <v>814.9869584675787</v>
      </c>
      <c r="I32" s="18" t="n">
        <v>6.68566024672579</v>
      </c>
      <c r="J32" s="18" t="n">
        <v>5.811481496728065</v>
      </c>
      <c r="K32" s="13" t="n">
        <v>0.2129862328643793</v>
      </c>
      <c r="L32" s="13" t="n">
        <v>0.3141361256544502</v>
      </c>
      <c r="M32" s="13">
        <f>IF(AND(ISNUMBER(K32),ISNUMBER(L32),L32&gt;0),1-K32/L32,"n/a")</f>
        <v/>
      </c>
    </row>
    <row r="33">
      <c r="A33" s="9" t="inlineStr">
        <is>
          <t>SYN_HOBBIES_2_007_CA_1</t>
        </is>
      </c>
      <c r="B33" s="9" t="inlineStr">
        <is>
          <t>SYN_HOBBIES_2_007</t>
        </is>
      </c>
      <c r="C33" s="9" t="inlineStr">
        <is>
          <t>CA_1</t>
        </is>
      </c>
      <c r="D33" s="9" t="inlineStr">
        <is>
          <t>HOBBIES</t>
        </is>
      </c>
      <c r="E33" s="9" t="inlineStr">
        <is>
          <t>smooth</t>
        </is>
      </c>
      <c r="F33" s="9" t="inlineStr">
        <is>
          <t>gbm</t>
        </is>
      </c>
      <c r="G33" s="18" t="n">
        <v>1.413094972338358</v>
      </c>
      <c r="H33" s="12" t="n">
        <v>39.56665922547401</v>
      </c>
      <c r="I33" s="18" t="n">
        <v>1.002214867480008</v>
      </c>
      <c r="J33" s="18" t="n">
        <v>0.7374251706231513</v>
      </c>
      <c r="K33" s="13" t="n">
        <v>0.5899401364985211</v>
      </c>
      <c r="L33" s="13" t="n">
        <v>0.9428571428571428</v>
      </c>
      <c r="M33" s="13">
        <f>IF(AND(ISNUMBER(K33),ISNUMBER(L33),L33&gt;0),1-K33/L33,"n/a")</f>
        <v/>
      </c>
    </row>
    <row r="34">
      <c r="A34" s="9" t="inlineStr">
        <is>
          <t>SYN_HOBBIES_2_009_CA_1</t>
        </is>
      </c>
      <c r="B34" s="9" t="inlineStr">
        <is>
          <t>SYN_HOBBIES_2_009</t>
        </is>
      </c>
      <c r="C34" s="9" t="inlineStr">
        <is>
          <t>CA_1</t>
        </is>
      </c>
      <c r="D34" s="9" t="inlineStr">
        <is>
          <t>HOBBIES</t>
        </is>
      </c>
      <c r="E34" s="9" t="inlineStr">
        <is>
          <t>smooth</t>
        </is>
      </c>
      <c r="F34" s="9" t="inlineStr">
        <is>
          <t>moving_average</t>
        </is>
      </c>
      <c r="G34" s="18" t="n">
        <v>5.410714285714285</v>
      </c>
      <c r="H34" s="12" t="n">
        <v>151.5</v>
      </c>
      <c r="I34" s="18" t="n">
        <v>2.028857499763249</v>
      </c>
      <c r="J34" s="18" t="n">
        <v>2.010204081632653</v>
      </c>
      <c r="K34" s="13" t="n">
        <v>0.3936063936063936</v>
      </c>
      <c r="L34" s="13" t="n">
        <v>0.5664335664335665</v>
      </c>
      <c r="M34" s="13">
        <f>IF(AND(ISNUMBER(K34),ISNUMBER(L34),L34&gt;0),1-K34/L34,"n/a")</f>
        <v/>
      </c>
    </row>
    <row r="35">
      <c r="A35" s="9" t="inlineStr">
        <is>
          <t>SYN_HOUSEHOLD_1_001_CA_1</t>
        </is>
      </c>
      <c r="B35" s="9" t="inlineStr">
        <is>
          <t>SYN_HOUSEHOLD_1_001</t>
        </is>
      </c>
      <c r="C35" s="9" t="inlineStr">
        <is>
          <t>CA_1</t>
        </is>
      </c>
      <c r="D35" s="9" t="inlineStr">
        <is>
          <t>HOUSEHOLD</t>
        </is>
      </c>
      <c r="E35" s="9" t="inlineStr">
        <is>
          <t>intermittent</t>
        </is>
      </c>
      <c r="F35" s="9" t="inlineStr">
        <is>
          <t>sba</t>
        </is>
      </c>
      <c r="G35" s="18" t="n">
        <v>0.3745124340057373</v>
      </c>
      <c r="H35" s="12" t="n">
        <v>10.48634815216064</v>
      </c>
      <c r="I35" s="18" t="n">
        <v>0.99713951351485</v>
      </c>
      <c r="J35" s="18" t="n">
        <v>0.5425025224685669</v>
      </c>
      <c r="K35" s="13" t="n">
        <v>1.898758828639984</v>
      </c>
      <c r="L35" s="13" t="n">
        <v>1</v>
      </c>
      <c r="M35" s="13">
        <f>IF(AND(ISNUMBER(K35),ISNUMBER(L35),L35&gt;0),1-K35/L35,"n/a")</f>
        <v/>
      </c>
    </row>
    <row r="36">
      <c r="A36" s="9" t="inlineStr">
        <is>
          <t>SYN_HOUSEHOLD_1_007_CA_1</t>
        </is>
      </c>
      <c r="B36" s="9" t="inlineStr">
        <is>
          <t>SYN_HOUSEHOLD_1_007</t>
        </is>
      </c>
      <c r="C36" s="9" t="inlineStr">
        <is>
          <t>CA_1</t>
        </is>
      </c>
      <c r="D36" s="9" t="inlineStr">
        <is>
          <t>HOUSEHOLD</t>
        </is>
      </c>
      <c r="E36" s="9" t="inlineStr">
        <is>
          <t>erratic</t>
        </is>
      </c>
      <c r="F36" s="9" t="inlineStr">
        <is>
          <t>sba</t>
        </is>
      </c>
      <c r="G36" s="18" t="n">
        <v>11.16962718963623</v>
      </c>
      <c r="H36" s="12" t="n">
        <v>312.7495613098145</v>
      </c>
      <c r="I36" s="18" t="n">
        <v>7.248552539035171</v>
      </c>
      <c r="J36" s="18" t="n">
        <v>6.641923121043614</v>
      </c>
      <c r="K36" s="13" t="n">
        <v>0.6178533135854525</v>
      </c>
      <c r="L36" s="13" t="n">
        <v>0.8006644518272426</v>
      </c>
      <c r="M36" s="13">
        <f>IF(AND(ISNUMBER(K36),ISNUMBER(L36),L36&gt;0),1-K36/L36,"n/a")</f>
        <v/>
      </c>
    </row>
    <row r="37">
      <c r="A37" s="9" t="inlineStr">
        <is>
          <t>SYN_HOUSEHOLD_1_008_CA_1</t>
        </is>
      </c>
      <c r="B37" s="9" t="inlineStr">
        <is>
          <t>SYN_HOUSEHOLD_1_008</t>
        </is>
      </c>
      <c r="C37" s="9" t="inlineStr">
        <is>
          <t>CA_1</t>
        </is>
      </c>
      <c r="D37" s="9" t="inlineStr">
        <is>
          <t>HOUSEHOLD</t>
        </is>
      </c>
      <c r="E37" s="9" t="inlineStr">
        <is>
          <t>smooth</t>
        </is>
      </c>
      <c r="F37" s="9" t="inlineStr">
        <is>
          <t>gbm</t>
        </is>
      </c>
      <c r="G37" s="18" t="n">
        <v>2.895603012507228</v>
      </c>
      <c r="H37" s="12" t="n">
        <v>81.07688435020239</v>
      </c>
      <c r="I37" s="18" t="n">
        <v>1.872290203533048</v>
      </c>
      <c r="J37" s="18" t="n">
        <v>1.465569465468032</v>
      </c>
      <c r="K37" s="13" t="n">
        <v>0.4559549448122766</v>
      </c>
      <c r="L37" s="13" t="n">
        <v>0.9111111111111112</v>
      </c>
      <c r="M37" s="13">
        <f>IF(AND(ISNUMBER(K37),ISNUMBER(L37),L37&gt;0),1-K37/L37,"n/a")</f>
        <v/>
      </c>
    </row>
    <row r="38">
      <c r="A38" s="9" t="inlineStr">
        <is>
          <t>SYN_HOUSEHOLD_1_009_CA_1</t>
        </is>
      </c>
      <c r="B38" s="9" t="inlineStr">
        <is>
          <t>SYN_HOUSEHOLD_1_009</t>
        </is>
      </c>
      <c r="C38" s="9" t="inlineStr">
        <is>
          <t>CA_1</t>
        </is>
      </c>
      <c r="D38" s="9" t="inlineStr">
        <is>
          <t>HOUSEHOLD</t>
        </is>
      </c>
      <c r="E38" s="9" t="inlineStr">
        <is>
          <t>smooth</t>
        </is>
      </c>
      <c r="F38" s="9" t="inlineStr">
        <is>
          <t>seasonal_ma</t>
        </is>
      </c>
      <c r="G38" s="18" t="n">
        <v>13.375</v>
      </c>
      <c r="H38" s="12" t="n">
        <v>374.5</v>
      </c>
      <c r="I38" s="18" t="n">
        <v>4.234530670570234</v>
      </c>
      <c r="J38" s="18" t="n">
        <v>3.955357142857143</v>
      </c>
      <c r="K38" s="13" t="n">
        <v>0.2761845386533665</v>
      </c>
      <c r="L38" s="13" t="n">
        <v>0.2817955112219451</v>
      </c>
      <c r="M38" s="13">
        <f>IF(AND(ISNUMBER(K38),ISNUMBER(L38),L38&gt;0),1-K38/L38,"n/a")</f>
        <v/>
      </c>
    </row>
    <row r="39">
      <c r="A39" s="9" t="inlineStr">
        <is>
          <t>SYN_HOUSEHOLD_2_001_CA_1</t>
        </is>
      </c>
      <c r="B39" s="9" t="inlineStr">
        <is>
          <t>SYN_HOUSEHOLD_2_001</t>
        </is>
      </c>
      <c r="C39" s="9" t="inlineStr">
        <is>
          <t>CA_1</t>
        </is>
      </c>
      <c r="D39" s="9" t="inlineStr">
        <is>
          <t>HOUSEHOLD</t>
        </is>
      </c>
      <c r="E39" s="9" t="inlineStr">
        <is>
          <t>smooth</t>
        </is>
      </c>
      <c r="F39" s="9" t="inlineStr">
        <is>
          <t>gbm</t>
        </is>
      </c>
      <c r="G39" s="18" t="n">
        <v>21.96697858951162</v>
      </c>
      <c r="H39" s="12" t="n">
        <v>615.0754005063254</v>
      </c>
      <c r="I39" s="18" t="n">
        <v>5.309542131017205</v>
      </c>
      <c r="J39" s="18" t="n">
        <v>4.583557697782012</v>
      </c>
      <c r="K39" s="13" t="n">
        <v>0.2046883820381122</v>
      </c>
      <c r="L39" s="13" t="n">
        <v>0.2408293460925039</v>
      </c>
      <c r="M39" s="13">
        <f>IF(AND(ISNUMBER(K39),ISNUMBER(L39),L39&gt;0),1-K39/L39,"n/a")</f>
        <v/>
      </c>
    </row>
    <row r="40">
      <c r="A40" s="9" t="inlineStr">
        <is>
          <t>SYN_HOUSEHOLD_2_003_CA_1</t>
        </is>
      </c>
      <c r="B40" s="9" t="inlineStr">
        <is>
          <t>SYN_HOUSEHOLD_2_003</t>
        </is>
      </c>
      <c r="C40" s="9" t="inlineStr">
        <is>
          <t>CA_1</t>
        </is>
      </c>
      <c r="D40" s="9" t="inlineStr">
        <is>
          <t>HOUSEHOLD</t>
        </is>
      </c>
      <c r="E40" s="9" t="inlineStr">
        <is>
          <t>erratic</t>
        </is>
      </c>
      <c r="F40" s="9" t="inlineStr">
        <is>
          <t>sba</t>
        </is>
      </c>
      <c r="G40" s="18" t="n">
        <v>4.99939489364624</v>
      </c>
      <c r="H40" s="12" t="n">
        <v>139.9830570220947</v>
      </c>
      <c r="I40" s="18" t="n">
        <v>5.048100391909954</v>
      </c>
      <c r="J40" s="18" t="n">
        <v>3.217519283294678</v>
      </c>
      <c r="K40" s="13" t="n">
        <v>0.6435038566589355</v>
      </c>
      <c r="L40" s="13" t="n">
        <v>0.8142857142857143</v>
      </c>
      <c r="M40" s="13">
        <f>IF(AND(ISNUMBER(K40),ISNUMBER(L40),L40&gt;0),1-K40/L40,"n/a")</f>
        <v/>
      </c>
    </row>
    <row r="41">
      <c r="A41" s="9" t="inlineStr">
        <is>
          <t>SYN_HOUSEHOLD_2_004_CA_1</t>
        </is>
      </c>
      <c r="B41" s="9" t="inlineStr">
        <is>
          <t>SYN_HOUSEHOLD_2_004</t>
        </is>
      </c>
      <c r="C41" s="9" t="inlineStr">
        <is>
          <t>CA_1</t>
        </is>
      </c>
      <c r="D41" s="9" t="inlineStr">
        <is>
          <t>HOUSEHOLD</t>
        </is>
      </c>
      <c r="E41" s="9" t="inlineStr">
        <is>
          <t>smooth</t>
        </is>
      </c>
      <c r="F41" s="9" t="inlineStr">
        <is>
          <t>gbm</t>
        </is>
      </c>
      <c r="G41" s="18" t="n">
        <v>17.41393152868236</v>
      </c>
      <c r="H41" s="12" t="n">
        <v>487.5900828031061</v>
      </c>
      <c r="I41" s="18" t="n">
        <v>4.814203982932886</v>
      </c>
      <c r="J41" s="18" t="n">
        <v>3.361896668206739</v>
      </c>
      <c r="K41" s="13" t="n">
        <v>0.196520055761563</v>
      </c>
      <c r="L41" s="13" t="n">
        <v>0.3235908141962422</v>
      </c>
      <c r="M41" s="13">
        <f>IF(AND(ISNUMBER(K41),ISNUMBER(L41),L41&gt;0),1-K41/L41,"n/a")</f>
        <v/>
      </c>
    </row>
    <row r="42">
      <c r="A42" s="9" t="inlineStr">
        <is>
          <t>SYN_HOUSEHOLD_2_005_CA_1</t>
        </is>
      </c>
      <c r="B42" s="9" t="inlineStr">
        <is>
          <t>SYN_HOUSEHOLD_2_005</t>
        </is>
      </c>
      <c r="C42" s="9" t="inlineStr">
        <is>
          <t>CA_1</t>
        </is>
      </c>
      <c r="D42" s="9" t="inlineStr">
        <is>
          <t>HOUSEHOLD</t>
        </is>
      </c>
      <c r="E42" s="9" t="inlineStr">
        <is>
          <t>intermittent</t>
        </is>
      </c>
      <c r="F42" s="9" t="inlineStr">
        <is>
          <t>moving_average</t>
        </is>
      </c>
      <c r="G42" s="18" t="n">
        <v>1</v>
      </c>
      <c r="H42" s="12" t="n">
        <v>28</v>
      </c>
      <c r="I42" s="18" t="n">
        <v>0.9935378024798764</v>
      </c>
      <c r="J42" s="18" t="n">
        <v>1.119897959183673</v>
      </c>
      <c r="K42" s="13" t="n">
        <v>0.95021645021645</v>
      </c>
      <c r="L42" s="13" t="n">
        <v>1.060606060606061</v>
      </c>
      <c r="M42" s="13">
        <f>IF(AND(ISNUMBER(K42),ISNUMBER(L42),L42&gt;0),1-K42/L42,"n/a")</f>
        <v/>
      </c>
    </row>
    <row r="43">
      <c r="A43" s="9" t="inlineStr">
        <is>
          <t>SYN_HOUSEHOLD_2_006_CA_1</t>
        </is>
      </c>
      <c r="B43" s="9" t="inlineStr">
        <is>
          <t>SYN_HOUSEHOLD_2_006</t>
        </is>
      </c>
      <c r="C43" s="9" t="inlineStr">
        <is>
          <t>CA_1</t>
        </is>
      </c>
      <c r="D43" s="9" t="inlineStr">
        <is>
          <t>HOUSEHOLD</t>
        </is>
      </c>
      <c r="E43" s="9" t="inlineStr">
        <is>
          <t>erratic</t>
        </is>
      </c>
      <c r="F43" s="9" t="inlineStr">
        <is>
          <t>sba</t>
        </is>
      </c>
      <c r="G43" s="18" t="n">
        <v>5.890241146087647</v>
      </c>
      <c r="H43" s="12" t="n">
        <v>164.9267520904541</v>
      </c>
      <c r="I43" s="18" t="n">
        <v>7.18393868576446</v>
      </c>
      <c r="J43" s="18" t="n">
        <v>4.247348240443638</v>
      </c>
      <c r="K43" s="13" t="n">
        <v>0.6757144927978516</v>
      </c>
      <c r="L43" s="13" t="n">
        <v>1.318181818181818</v>
      </c>
      <c r="M43" s="13">
        <f>IF(AND(ISNUMBER(K43),ISNUMBER(L43),L43&gt;0),1-K43/L43,"n/a")</f>
        <v/>
      </c>
    </row>
    <row r="44">
      <c r="A44" s="9" t="inlineStr">
        <is>
          <t>SYN_HOUSEHOLD_2_007_CA_1</t>
        </is>
      </c>
      <c r="B44" s="9" t="inlineStr">
        <is>
          <t>SYN_HOUSEHOLD_2_007</t>
        </is>
      </c>
      <c r="C44" s="9" t="inlineStr">
        <is>
          <t>CA_1</t>
        </is>
      </c>
      <c r="D44" s="9" t="inlineStr">
        <is>
          <t>HOUSEHOLD</t>
        </is>
      </c>
      <c r="E44" s="9" t="inlineStr">
        <is>
          <t>intermittent</t>
        </is>
      </c>
      <c r="F44" s="9" t="inlineStr">
        <is>
          <t>moving_average</t>
        </is>
      </c>
      <c r="G44" s="18" t="n">
        <v>0.875</v>
      </c>
      <c r="H44" s="12" t="n">
        <v>24.5</v>
      </c>
      <c r="I44" s="18" t="n">
        <v>1.134877270981108</v>
      </c>
      <c r="J44" s="18" t="n">
        <v>0.8303571428571429</v>
      </c>
      <c r="K44" s="13" t="n">
        <v>1.107142857142857</v>
      </c>
      <c r="L44" s="13" t="n">
        <v>1.571428571428571</v>
      </c>
      <c r="M44" s="13">
        <f>IF(AND(ISNUMBER(K44),ISNUMBER(L44),L44&gt;0),1-K44/L44,"n/a")</f>
        <v/>
      </c>
    </row>
    <row r="45">
      <c r="A45" s="9" t="inlineStr">
        <is>
          <t>SYN_FOODS_1_001_CA_2</t>
        </is>
      </c>
      <c r="B45" s="9" t="inlineStr">
        <is>
          <t>SYN_FOODS_1_001</t>
        </is>
      </c>
      <c r="C45" s="9" t="inlineStr">
        <is>
          <t>CA_2</t>
        </is>
      </c>
      <c r="D45" s="9" t="inlineStr">
        <is>
          <t>FOODS</t>
        </is>
      </c>
      <c r="E45" s="9" t="inlineStr">
        <is>
          <t>erratic</t>
        </is>
      </c>
      <c r="F45" s="9" t="inlineStr">
        <is>
          <t>sba</t>
        </is>
      </c>
      <c r="G45" s="18" t="n">
        <v>7.879524230957031</v>
      </c>
      <c r="H45" s="12" t="n">
        <v>220.6266784667969</v>
      </c>
      <c r="I45" s="18" t="n">
        <v>5.606086486505319</v>
      </c>
      <c r="J45" s="18" t="n">
        <v>5.862469877515521</v>
      </c>
      <c r="K45" s="13" t="n">
        <v>0.6926124749807366</v>
      </c>
      <c r="L45" s="13" t="n">
        <v>0.7890295358649789</v>
      </c>
      <c r="M45" s="13">
        <f>IF(AND(ISNUMBER(K45),ISNUMBER(L45),L45&gt;0),1-K45/L45,"n/a")</f>
        <v/>
      </c>
    </row>
    <row r="46">
      <c r="A46" s="9" t="inlineStr">
        <is>
          <t>SYN_FOODS_1_002_CA_2</t>
        </is>
      </c>
      <c r="B46" s="9" t="inlineStr">
        <is>
          <t>SYN_FOODS_1_002</t>
        </is>
      </c>
      <c r="C46" s="9" t="inlineStr">
        <is>
          <t>CA_2</t>
        </is>
      </c>
      <c r="D46" s="9" t="inlineStr">
        <is>
          <t>FOODS</t>
        </is>
      </c>
      <c r="E46" s="9" t="inlineStr">
        <is>
          <t>smooth</t>
        </is>
      </c>
      <c r="F46" s="9" t="inlineStr">
        <is>
          <t>sba</t>
        </is>
      </c>
      <c r="G46" s="18" t="n">
        <v>6.968380928039551</v>
      </c>
      <c r="H46" s="12" t="n">
        <v>195.1146659851075</v>
      </c>
      <c r="I46" s="18" t="n">
        <v>2.907683692408785</v>
      </c>
      <c r="J46" s="18" t="n">
        <v>1.964285714285714</v>
      </c>
      <c r="K46" s="13" t="n">
        <v>0.2657004830917874</v>
      </c>
      <c r="L46" s="13" t="n">
        <v>0.3526570048309179</v>
      </c>
      <c r="M46" s="13">
        <f>IF(AND(ISNUMBER(K46),ISNUMBER(L46),L46&gt;0),1-K46/L46,"n/a")</f>
        <v/>
      </c>
    </row>
    <row r="47">
      <c r="A47" s="9" t="inlineStr">
        <is>
          <t>SYN_FOODS_1_005_CA_2</t>
        </is>
      </c>
      <c r="B47" s="9" t="inlineStr">
        <is>
          <t>SYN_FOODS_1_005</t>
        </is>
      </c>
      <c r="C47" s="9" t="inlineStr">
        <is>
          <t>CA_2</t>
        </is>
      </c>
      <c r="D47" s="9" t="inlineStr">
        <is>
          <t>FOODS</t>
        </is>
      </c>
      <c r="E47" s="9" t="inlineStr">
        <is>
          <t>lumpy</t>
        </is>
      </c>
      <c r="F47" s="9" t="inlineStr">
        <is>
          <t>gbm</t>
        </is>
      </c>
      <c r="G47" s="18" t="n">
        <v>1.438416558801267</v>
      </c>
      <c r="H47" s="12" t="n">
        <v>40.27566364643545</v>
      </c>
      <c r="I47" s="18" t="n">
        <v>2.56310731050688</v>
      </c>
      <c r="J47" s="18" t="n">
        <v>2.850608046469446</v>
      </c>
      <c r="K47" s="13" t="n">
        <v>1.156768482625282</v>
      </c>
      <c r="L47" s="13" t="n">
        <v>1.521739130434783</v>
      </c>
      <c r="M47" s="13">
        <f>IF(AND(ISNUMBER(K47),ISNUMBER(L47),L47&gt;0),1-K47/L47,"n/a")</f>
        <v/>
      </c>
    </row>
    <row r="48">
      <c r="A48" s="9" t="inlineStr">
        <is>
          <t>SYN_FOODS_1_006_CA_2</t>
        </is>
      </c>
      <c r="B48" s="9" t="inlineStr">
        <is>
          <t>SYN_FOODS_1_006</t>
        </is>
      </c>
      <c r="C48" s="9" t="inlineStr">
        <is>
          <t>CA_2</t>
        </is>
      </c>
      <c r="D48" s="9" t="inlineStr">
        <is>
          <t>FOODS</t>
        </is>
      </c>
      <c r="E48" s="9" t="inlineStr">
        <is>
          <t>lumpy</t>
        </is>
      </c>
      <c r="F48" s="9" t="inlineStr">
        <is>
          <t>moving_average</t>
        </is>
      </c>
      <c r="G48" s="18" t="n">
        <v>0.9642857142857144</v>
      </c>
      <c r="H48" s="12" t="n">
        <v>27</v>
      </c>
      <c r="I48" s="18" t="n">
        <v>1.809484659070575</v>
      </c>
      <c r="J48" s="18" t="n">
        <v>1.221938775510204</v>
      </c>
      <c r="K48" s="13" t="n">
        <v>1.555194805194805</v>
      </c>
      <c r="L48" s="13" t="n">
        <v>1.090909090909091</v>
      </c>
      <c r="M48" s="13">
        <f>IF(AND(ISNUMBER(K48),ISNUMBER(L48),L48&gt;0),1-K48/L48,"n/a")</f>
        <v/>
      </c>
    </row>
    <row r="49">
      <c r="A49" s="9" t="inlineStr">
        <is>
          <t>SYN_FOODS_1_007_CA_2</t>
        </is>
      </c>
      <c r="B49" s="9" t="inlineStr">
        <is>
          <t>SYN_FOODS_1_007</t>
        </is>
      </c>
      <c r="C49" s="9" t="inlineStr">
        <is>
          <t>CA_2</t>
        </is>
      </c>
      <c r="D49" s="9" t="inlineStr">
        <is>
          <t>FOODS</t>
        </is>
      </c>
      <c r="E49" s="9" t="inlineStr">
        <is>
          <t>smooth</t>
        </is>
      </c>
      <c r="F49" s="9" t="inlineStr">
        <is>
          <t>seasonal_ma</t>
        </is>
      </c>
      <c r="G49" s="18" t="n">
        <v>18.14285714285714</v>
      </c>
      <c r="H49" s="12" t="n">
        <v>508</v>
      </c>
      <c r="I49" s="18" t="n">
        <v>5.777728174390247</v>
      </c>
      <c r="J49" s="18" t="n">
        <v>3.973214285714286</v>
      </c>
      <c r="K49" s="13" t="n">
        <v>0.2252024291497975</v>
      </c>
      <c r="L49" s="13" t="n">
        <v>0.291497975708502</v>
      </c>
      <c r="M49" s="13">
        <f>IF(AND(ISNUMBER(K49),ISNUMBER(L49),L49&gt;0),1-K49/L49,"n/a")</f>
        <v/>
      </c>
    </row>
    <row r="50">
      <c r="A50" s="9" t="inlineStr">
        <is>
          <t>SYN_FOODS_1_009_CA_2</t>
        </is>
      </c>
      <c r="B50" s="9" t="inlineStr">
        <is>
          <t>SYN_FOODS_1_009</t>
        </is>
      </c>
      <c r="C50" s="9" t="inlineStr">
        <is>
          <t>CA_2</t>
        </is>
      </c>
      <c r="D50" s="9" t="inlineStr">
        <is>
          <t>FOODS</t>
        </is>
      </c>
      <c r="E50" s="9" t="inlineStr">
        <is>
          <t>smooth</t>
        </is>
      </c>
      <c r="F50" s="9" t="inlineStr">
        <is>
          <t>gbm</t>
        </is>
      </c>
      <c r="G50" s="18" t="n">
        <v>16.97583297482478</v>
      </c>
      <c r="H50" s="12" t="n">
        <v>475.3233232950938</v>
      </c>
      <c r="I50" s="18" t="n">
        <v>5.158611852888707</v>
      </c>
      <c r="J50" s="18" t="n">
        <v>4.531422890670954</v>
      </c>
      <c r="K50" s="13" t="n">
        <v>0.2722743367785122</v>
      </c>
      <c r="L50" s="13" t="n">
        <v>0.278969957081545</v>
      </c>
      <c r="M50" s="13">
        <f>IF(AND(ISNUMBER(K50),ISNUMBER(L50),L50&gt;0),1-K50/L50,"n/a")</f>
        <v/>
      </c>
    </row>
    <row r="51">
      <c r="A51" s="9" t="inlineStr">
        <is>
          <t>SYN_FOODS_2_003_CA_2</t>
        </is>
      </c>
      <c r="B51" s="9" t="inlineStr">
        <is>
          <t>SYN_FOODS_2_003</t>
        </is>
      </c>
      <c r="C51" s="9" t="inlineStr">
        <is>
          <t>CA_2</t>
        </is>
      </c>
      <c r="D51" s="9" t="inlineStr">
        <is>
          <t>FOODS</t>
        </is>
      </c>
      <c r="E51" s="9" t="inlineStr">
        <is>
          <t>smooth</t>
        </is>
      </c>
      <c r="F51" s="9" t="inlineStr">
        <is>
          <t>sba</t>
        </is>
      </c>
      <c r="G51" s="18" t="n">
        <v>5.06488037109375</v>
      </c>
      <c r="H51" s="12" t="n">
        <v>141.816650390625</v>
      </c>
      <c r="I51" s="18" t="n">
        <v>2.6710651533243</v>
      </c>
      <c r="J51" s="18" t="n">
        <v>2.429893187114171</v>
      </c>
      <c r="K51" s="13" t="n">
        <v>0.493021806081136</v>
      </c>
      <c r="L51" s="13" t="n">
        <v>0.7246376811594203</v>
      </c>
      <c r="M51" s="13">
        <f>IF(AND(ISNUMBER(K51),ISNUMBER(L51),L51&gt;0),1-K51/L51,"n/a")</f>
        <v/>
      </c>
    </row>
    <row r="52">
      <c r="A52" s="9" t="inlineStr">
        <is>
          <t>SYN_FOODS_2_004_CA_2</t>
        </is>
      </c>
      <c r="B52" s="9" t="inlineStr">
        <is>
          <t>SYN_FOODS_2_004</t>
        </is>
      </c>
      <c r="C52" s="9" t="inlineStr">
        <is>
          <t>CA_2</t>
        </is>
      </c>
      <c r="D52" s="9" t="inlineStr">
        <is>
          <t>FOODS</t>
        </is>
      </c>
      <c r="E52" s="9" t="inlineStr">
        <is>
          <t>intermittent</t>
        </is>
      </c>
      <c r="F52" s="9" t="inlineStr">
        <is>
          <t>moving_average</t>
        </is>
      </c>
      <c r="G52" s="18" t="n">
        <v>0.1428571428571428</v>
      </c>
      <c r="H52" s="12" t="n">
        <v>4</v>
      </c>
      <c r="I52" s="18" t="n">
        <v>0.3895968595514592</v>
      </c>
      <c r="J52" s="18" t="n">
        <v>0.3125</v>
      </c>
      <c r="K52" s="13" t="n">
        <v>1.458333333333333</v>
      </c>
      <c r="L52" s="13" t="n">
        <v>1</v>
      </c>
      <c r="M52" s="13">
        <f>IF(AND(ISNUMBER(K52),ISNUMBER(L52),L52&gt;0),1-K52/L52,"n/a")</f>
        <v/>
      </c>
    </row>
    <row r="53">
      <c r="A53" s="9" t="inlineStr">
        <is>
          <t>SYN_FOODS_2_005_CA_2</t>
        </is>
      </c>
      <c r="B53" s="9" t="inlineStr">
        <is>
          <t>SYN_FOODS_2_005</t>
        </is>
      </c>
      <c r="C53" s="9" t="inlineStr">
        <is>
          <t>CA_2</t>
        </is>
      </c>
      <c r="D53" s="9" t="inlineStr">
        <is>
          <t>FOODS</t>
        </is>
      </c>
      <c r="E53" s="9" t="inlineStr">
        <is>
          <t>lumpy</t>
        </is>
      </c>
      <c r="F53" s="9" t="inlineStr">
        <is>
          <t>sba</t>
        </is>
      </c>
      <c r="G53" s="18" t="n">
        <v>0.903910994529724</v>
      </c>
      <c r="H53" s="12" t="n">
        <v>25.30950784683228</v>
      </c>
      <c r="I53" s="18" t="n">
        <v>2.697739145337333</v>
      </c>
      <c r="J53" s="18" t="n">
        <v>1.434367988790784</v>
      </c>
      <c r="K53" s="13" t="n">
        <v>1.825559258460998</v>
      </c>
      <c r="L53" s="13" t="n">
        <v>1</v>
      </c>
      <c r="M53" s="13">
        <f>IF(AND(ISNUMBER(K53),ISNUMBER(L53),L53&gt;0),1-K53/L53,"n/a")</f>
        <v/>
      </c>
    </row>
    <row r="54">
      <c r="A54" s="9" t="inlineStr">
        <is>
          <t>SYN_FOODS_2_009_CA_2</t>
        </is>
      </c>
      <c r="B54" s="9" t="inlineStr">
        <is>
          <t>SYN_FOODS_2_009</t>
        </is>
      </c>
      <c r="C54" s="9" t="inlineStr">
        <is>
          <t>CA_2</t>
        </is>
      </c>
      <c r="D54" s="9" t="inlineStr">
        <is>
          <t>FOODS</t>
        </is>
      </c>
      <c r="E54" s="9" t="inlineStr">
        <is>
          <t>smooth</t>
        </is>
      </c>
      <c r="F54" s="9" t="inlineStr">
        <is>
          <t>gbm</t>
        </is>
      </c>
      <c r="G54" s="18" t="n">
        <v>22.81556101601683</v>
      </c>
      <c r="H54" s="12" t="n">
        <v>638.8357084484712</v>
      </c>
      <c r="I54" s="18" t="n">
        <v>6.180183767299331</v>
      </c>
      <c r="J54" s="18" t="n">
        <v>4.135305189475878</v>
      </c>
      <c r="K54" s="13" t="n">
        <v>0.1775897934130745</v>
      </c>
      <c r="L54" s="13" t="n">
        <v>0.2239263803680981</v>
      </c>
      <c r="M54" s="13">
        <f>IF(AND(ISNUMBER(K54),ISNUMBER(L54),L54&gt;0),1-K54/L54,"n/a")</f>
        <v/>
      </c>
    </row>
    <row r="55">
      <c r="A55" s="9" t="inlineStr">
        <is>
          <t>SYN_FOODS_3_001_CA_2</t>
        </is>
      </c>
      <c r="B55" s="9" t="inlineStr">
        <is>
          <t>SYN_FOODS_3_001</t>
        </is>
      </c>
      <c r="C55" s="9" t="inlineStr">
        <is>
          <t>CA_2</t>
        </is>
      </c>
      <c r="D55" s="9" t="inlineStr">
        <is>
          <t>FOODS</t>
        </is>
      </c>
      <c r="E55" s="9" t="inlineStr">
        <is>
          <t>intermittent</t>
        </is>
      </c>
      <c r="F55" s="9" t="inlineStr">
        <is>
          <t>sba</t>
        </is>
      </c>
      <c r="G55" s="18" t="n">
        <v>1.619354963302612</v>
      </c>
      <c r="H55" s="12" t="n">
        <v>45.34193897247314</v>
      </c>
      <c r="I55" s="18" t="n">
        <v>1.468644552548099</v>
      </c>
      <c r="J55" s="18" t="n">
        <v>1.285714285714286</v>
      </c>
      <c r="K55" s="13" t="n">
        <v>0.6923076923076923</v>
      </c>
      <c r="L55" s="13" t="n">
        <v>0.8846153846153846</v>
      </c>
      <c r="M55" s="13">
        <f>IF(AND(ISNUMBER(K55),ISNUMBER(L55),L55&gt;0),1-K55/L55,"n/a")</f>
        <v/>
      </c>
    </row>
    <row r="56">
      <c r="A56" s="9" t="inlineStr">
        <is>
          <t>SYN_FOODS_3_002_CA_2</t>
        </is>
      </c>
      <c r="B56" s="9" t="inlineStr">
        <is>
          <t>SYN_FOODS_3_002</t>
        </is>
      </c>
      <c r="C56" s="9" t="inlineStr">
        <is>
          <t>CA_2</t>
        </is>
      </c>
      <c r="D56" s="9" t="inlineStr">
        <is>
          <t>FOODS</t>
        </is>
      </c>
      <c r="E56" s="9" t="inlineStr">
        <is>
          <t>erratic</t>
        </is>
      </c>
      <c r="F56" s="9" t="inlineStr">
        <is>
          <t>sba</t>
        </is>
      </c>
      <c r="G56" s="18" t="n">
        <v>4.287632942199707</v>
      </c>
      <c r="H56" s="12" t="n">
        <v>120.0537223815918</v>
      </c>
      <c r="I56" s="18" t="n">
        <v>4.475224016953696</v>
      </c>
      <c r="J56" s="18" t="n">
        <v>2.357142857142857</v>
      </c>
      <c r="K56" s="13" t="n">
        <v>0.5238095238095238</v>
      </c>
      <c r="L56" s="13" t="n">
        <v>0.5714285714285714</v>
      </c>
      <c r="M56" s="13">
        <f>IF(AND(ISNUMBER(K56),ISNUMBER(L56),L56&gt;0),1-K56/L56,"n/a")</f>
        <v/>
      </c>
    </row>
    <row r="57">
      <c r="A57" s="9" t="inlineStr">
        <is>
          <t>SYN_FOODS_3_003_CA_2</t>
        </is>
      </c>
      <c r="B57" s="9" t="inlineStr">
        <is>
          <t>SYN_FOODS_3_003</t>
        </is>
      </c>
      <c r="C57" s="9" t="inlineStr">
        <is>
          <t>CA_2</t>
        </is>
      </c>
      <c r="D57" s="9" t="inlineStr">
        <is>
          <t>FOODS</t>
        </is>
      </c>
      <c r="E57" s="9" t="inlineStr">
        <is>
          <t>erratic</t>
        </is>
      </c>
      <c r="F57" s="9" t="inlineStr">
        <is>
          <t>gbm</t>
        </is>
      </c>
      <c r="G57" s="18" t="n">
        <v>7.144285136725402</v>
      </c>
      <c r="H57" s="12" t="n">
        <v>200.0399838283113</v>
      </c>
      <c r="I57" s="18" t="n">
        <v>7.022473648337809</v>
      </c>
      <c r="J57" s="18" t="n">
        <v>4.360097324426937</v>
      </c>
      <c r="K57" s="13" t="n">
        <v>0.5813463099235916</v>
      </c>
      <c r="L57" s="13" t="n">
        <v>0.6571428571428571</v>
      </c>
      <c r="M57" s="13">
        <f>IF(AND(ISNUMBER(K57),ISNUMBER(L57),L57&gt;0),1-K57/L57,"n/a")</f>
        <v/>
      </c>
    </row>
    <row r="58">
      <c r="A58" s="9" t="inlineStr">
        <is>
          <t>SYN_FOODS_3_005_CA_2</t>
        </is>
      </c>
      <c r="B58" s="9" t="inlineStr">
        <is>
          <t>SYN_FOODS_3_005</t>
        </is>
      </c>
      <c r="C58" s="9" t="inlineStr">
        <is>
          <t>CA_2</t>
        </is>
      </c>
      <c r="D58" s="9" t="inlineStr">
        <is>
          <t>FOODS</t>
        </is>
      </c>
      <c r="E58" s="9" t="inlineStr">
        <is>
          <t>smooth</t>
        </is>
      </c>
      <c r="F58" s="9" t="inlineStr">
        <is>
          <t>moving_average</t>
        </is>
      </c>
      <c r="G58" s="18" t="n">
        <v>18.80357142857143</v>
      </c>
      <c r="H58" s="12" t="n">
        <v>526.5</v>
      </c>
      <c r="I58" s="18" t="n">
        <v>5.291333896808639</v>
      </c>
      <c r="J58" s="18" t="n">
        <v>3.607142857142857</v>
      </c>
      <c r="K58" s="13" t="n">
        <v>0.1839708561020036</v>
      </c>
      <c r="L58" s="13" t="n">
        <v>0.2276867030965391</v>
      </c>
      <c r="M58" s="13">
        <f>IF(AND(ISNUMBER(K58),ISNUMBER(L58),L58&gt;0),1-K58/L58,"n/a")</f>
        <v/>
      </c>
    </row>
    <row r="59">
      <c r="A59" s="9" t="inlineStr">
        <is>
          <t>SYN_FOODS_3_007_CA_2</t>
        </is>
      </c>
      <c r="B59" s="9" t="inlineStr">
        <is>
          <t>SYN_FOODS_3_007</t>
        </is>
      </c>
      <c r="C59" s="9" t="inlineStr">
        <is>
          <t>CA_2</t>
        </is>
      </c>
      <c r="D59" s="9" t="inlineStr">
        <is>
          <t>FOODS</t>
        </is>
      </c>
      <c r="E59" s="9" t="inlineStr">
        <is>
          <t>smooth</t>
        </is>
      </c>
      <c r="F59" s="9" t="inlineStr">
        <is>
          <t>gbm</t>
        </is>
      </c>
      <c r="G59" s="18" t="n">
        <v>22.20601270888291</v>
      </c>
      <c r="H59" s="12" t="n">
        <v>621.7683558487214</v>
      </c>
      <c r="I59" s="18" t="n">
        <v>5.24750767731903</v>
      </c>
      <c r="J59" s="18" t="n">
        <v>4.510603951454096</v>
      </c>
      <c r="K59" s="13" t="n">
        <v>0.2144259942966293</v>
      </c>
      <c r="L59" s="13" t="n">
        <v>0.2835314091680815</v>
      </c>
      <c r="M59" s="13">
        <f>IF(AND(ISNUMBER(K59),ISNUMBER(L59),L59&gt;0),1-K59/L59,"n/a")</f>
        <v/>
      </c>
    </row>
    <row r="60">
      <c r="A60" s="9" t="inlineStr">
        <is>
          <t>SYN_FOODS_3_008_CA_2</t>
        </is>
      </c>
      <c r="B60" s="9" t="inlineStr">
        <is>
          <t>SYN_FOODS_3_008</t>
        </is>
      </c>
      <c r="C60" s="9" t="inlineStr">
        <is>
          <t>CA_2</t>
        </is>
      </c>
      <c r="D60" s="9" t="inlineStr">
        <is>
          <t>FOODS</t>
        </is>
      </c>
      <c r="E60" s="9" t="inlineStr">
        <is>
          <t>intermittent</t>
        </is>
      </c>
      <c r="F60" s="9" t="inlineStr">
        <is>
          <t>seasonal_ma</t>
        </is>
      </c>
      <c r="G60" s="18" t="n">
        <v>0.2678571428571428</v>
      </c>
      <c r="H60" s="12" t="n">
        <v>7.5</v>
      </c>
      <c r="I60" s="18" t="n">
        <v>0.7931064601570569</v>
      </c>
      <c r="J60" s="18" t="n">
        <v>0.4553571428571428</v>
      </c>
      <c r="K60" s="13" t="n">
        <v>2.125</v>
      </c>
      <c r="L60" s="13" t="n">
        <v>1.333333333333333</v>
      </c>
      <c r="M60" s="13">
        <f>IF(AND(ISNUMBER(K60),ISNUMBER(L60),L60&gt;0),1-K60/L60,"n/a")</f>
        <v/>
      </c>
    </row>
    <row r="61">
      <c r="A61" s="9" t="inlineStr">
        <is>
          <t>SYN_HOBBIES_1_001_CA_2</t>
        </is>
      </c>
      <c r="B61" s="9" t="inlineStr">
        <is>
          <t>SYN_HOBBIES_1_001</t>
        </is>
      </c>
      <c r="C61" s="9" t="inlineStr">
        <is>
          <t>CA_2</t>
        </is>
      </c>
      <c r="D61" s="9" t="inlineStr">
        <is>
          <t>HOBBIES</t>
        </is>
      </c>
      <c r="E61" s="9" t="inlineStr">
        <is>
          <t>lumpy</t>
        </is>
      </c>
      <c r="F61" s="9" t="inlineStr">
        <is>
          <t>sba</t>
        </is>
      </c>
      <c r="G61" s="18" t="n">
        <v>1.263879537582398</v>
      </c>
      <c r="H61" s="12" t="n">
        <v>35.38862705230713</v>
      </c>
      <c r="I61" s="18" t="n">
        <v>1.460000999350739</v>
      </c>
      <c r="J61" s="18" t="n">
        <v>1.14241521699088</v>
      </c>
      <c r="K61" s="13" t="n">
        <v>0.9139321735927036</v>
      </c>
      <c r="L61" s="13" t="n">
        <v>1.171428571428572</v>
      </c>
      <c r="M61" s="13">
        <f>IF(AND(ISNUMBER(K61),ISNUMBER(L61),L61&gt;0),1-K61/L61,"n/a")</f>
        <v/>
      </c>
    </row>
    <row r="62">
      <c r="A62" s="9" t="inlineStr">
        <is>
          <t>SYN_HOBBIES_1_002_CA_2</t>
        </is>
      </c>
      <c r="B62" s="9" t="inlineStr">
        <is>
          <t>SYN_HOBBIES_1_002</t>
        </is>
      </c>
      <c r="C62" s="9" t="inlineStr">
        <is>
          <t>CA_2</t>
        </is>
      </c>
      <c r="D62" s="9" t="inlineStr">
        <is>
          <t>HOBBIES</t>
        </is>
      </c>
      <c r="E62" s="9" t="inlineStr">
        <is>
          <t>intermittent</t>
        </is>
      </c>
      <c r="F62" s="9" t="inlineStr">
        <is>
          <t>moving_average</t>
        </is>
      </c>
      <c r="G62" s="18" t="n">
        <v>0.375</v>
      </c>
      <c r="H62" s="12" t="n">
        <v>10.5</v>
      </c>
      <c r="I62" s="18" t="n">
        <v>0.8812459373573724</v>
      </c>
      <c r="J62" s="18" t="n">
        <v>0.5357142857142857</v>
      </c>
      <c r="K62" s="13" t="n">
        <v>2.5</v>
      </c>
      <c r="L62" s="13" t="n">
        <v>2</v>
      </c>
      <c r="M62" s="13">
        <f>IF(AND(ISNUMBER(K62),ISNUMBER(L62),L62&gt;0),1-K62/L62,"n/a")</f>
        <v/>
      </c>
    </row>
    <row r="63">
      <c r="A63" s="9" t="inlineStr">
        <is>
          <t>SYN_HOBBIES_1_003_CA_2</t>
        </is>
      </c>
      <c r="B63" s="9" t="inlineStr">
        <is>
          <t>SYN_HOBBIES_1_003</t>
        </is>
      </c>
      <c r="C63" s="9" t="inlineStr">
        <is>
          <t>CA_2</t>
        </is>
      </c>
      <c r="D63" s="9" t="inlineStr">
        <is>
          <t>HOBBIES</t>
        </is>
      </c>
      <c r="E63" s="9" t="inlineStr">
        <is>
          <t>lumpy</t>
        </is>
      </c>
      <c r="F63" s="9" t="inlineStr">
        <is>
          <t>seasonal_naive</t>
        </is>
      </c>
      <c r="G63" s="18" t="n">
        <v>0</v>
      </c>
      <c r="H63" s="12" t="n">
        <v>0</v>
      </c>
      <c r="I63" s="18" t="n">
        <v>2.763279624959133</v>
      </c>
      <c r="J63" s="18" t="n">
        <v>0.3571428571428571</v>
      </c>
      <c r="K63" s="13" t="n">
        <v>5</v>
      </c>
      <c r="L63" s="13" t="n">
        <v>5</v>
      </c>
      <c r="M63" s="13">
        <f>IF(AND(ISNUMBER(K63),ISNUMBER(L63),L63&gt;0),1-K63/L63,"n/a")</f>
        <v/>
      </c>
    </row>
    <row r="64">
      <c r="A64" s="9" t="inlineStr">
        <is>
          <t>SYN_HOBBIES_1_004_CA_2</t>
        </is>
      </c>
      <c r="B64" s="9" t="inlineStr">
        <is>
          <t>SYN_HOBBIES_1_004</t>
        </is>
      </c>
      <c r="C64" s="9" t="inlineStr">
        <is>
          <t>CA_2</t>
        </is>
      </c>
      <c r="D64" s="9" t="inlineStr">
        <is>
          <t>HOBBIES</t>
        </is>
      </c>
      <c r="E64" s="9" t="inlineStr">
        <is>
          <t>intermittent</t>
        </is>
      </c>
      <c r="F64" s="9" t="inlineStr">
        <is>
          <t>sba</t>
        </is>
      </c>
      <c r="G64" s="18" t="n">
        <v>0.9627875089645386</v>
      </c>
      <c r="H64" s="12" t="n">
        <v>26.95805025100708</v>
      </c>
      <c r="I64" s="18" t="n">
        <v>1.12185755854383</v>
      </c>
      <c r="J64" s="18" t="n">
        <v>0.8534525462559291</v>
      </c>
      <c r="K64" s="13" t="n">
        <v>0.7965557098388671</v>
      </c>
      <c r="L64" s="13" t="n">
        <v>0.7333333333333333</v>
      </c>
      <c r="M64" s="13">
        <f>IF(AND(ISNUMBER(K64),ISNUMBER(L64),L64&gt;0),1-K64/L64,"n/a")</f>
        <v/>
      </c>
    </row>
    <row r="65">
      <c r="A65" s="9" t="inlineStr">
        <is>
          <t>SYN_HOBBIES_1_005_CA_2</t>
        </is>
      </c>
      <c r="B65" s="9" t="inlineStr">
        <is>
          <t>SYN_HOBBIES_1_005</t>
        </is>
      </c>
      <c r="C65" s="9" t="inlineStr">
        <is>
          <t>CA_2</t>
        </is>
      </c>
      <c r="D65" s="9" t="inlineStr">
        <is>
          <t>HOBBIES</t>
        </is>
      </c>
      <c r="E65" s="9" t="inlineStr">
        <is>
          <t>intermittent</t>
        </is>
      </c>
      <c r="F65" s="9" t="inlineStr">
        <is>
          <t>sba</t>
        </is>
      </c>
      <c r="G65" s="18" t="n">
        <v>0.9634143114089966</v>
      </c>
      <c r="H65" s="12" t="n">
        <v>26.9756007194519</v>
      </c>
      <c r="I65" s="18" t="n">
        <v>1.112686199567889</v>
      </c>
      <c r="J65" s="18" t="n">
        <v>0.8690535724163055</v>
      </c>
      <c r="K65" s="13" t="n">
        <v>0.9359038472175598</v>
      </c>
      <c r="L65" s="13" t="n">
        <v>1.538461538461538</v>
      </c>
      <c r="M65" s="13">
        <f>IF(AND(ISNUMBER(K65),ISNUMBER(L65),L65&gt;0),1-K65/L65,"n/a")</f>
        <v/>
      </c>
    </row>
    <row r="66">
      <c r="A66" s="9" t="inlineStr">
        <is>
          <t>SYN_HOBBIES_1_006_CA_2</t>
        </is>
      </c>
      <c r="B66" s="9" t="inlineStr">
        <is>
          <t>SYN_HOBBIES_1_006</t>
        </is>
      </c>
      <c r="C66" s="9" t="inlineStr">
        <is>
          <t>CA_2</t>
        </is>
      </c>
      <c r="D66" s="9" t="inlineStr">
        <is>
          <t>HOBBIES</t>
        </is>
      </c>
      <c r="E66" s="9" t="inlineStr">
        <is>
          <t>lumpy</t>
        </is>
      </c>
      <c r="F66" s="9" t="inlineStr">
        <is>
          <t>sba</t>
        </is>
      </c>
      <c r="G66" s="18" t="n">
        <v>0.569173276424408</v>
      </c>
      <c r="H66" s="12" t="n">
        <v>15.93685173988342</v>
      </c>
      <c r="I66" s="18" t="n">
        <v>1.774150719410511</v>
      </c>
      <c r="J66" s="18" t="n">
        <v>0.6888949956212725</v>
      </c>
      <c r="K66" s="13" t="n">
        <v>2.75557998248509</v>
      </c>
      <c r="L66" s="13" t="n">
        <v>4.714285714285714</v>
      </c>
      <c r="M66" s="13">
        <f>IF(AND(ISNUMBER(K66),ISNUMBER(L66),L66&gt;0),1-K66/L66,"n/a")</f>
        <v/>
      </c>
    </row>
    <row r="67">
      <c r="A67" s="9" t="inlineStr">
        <is>
          <t>SYN_HOBBIES_1_008_CA_2</t>
        </is>
      </c>
      <c r="B67" s="9" t="inlineStr">
        <is>
          <t>SYN_HOBBIES_1_008</t>
        </is>
      </c>
      <c r="C67" s="9" t="inlineStr">
        <is>
          <t>CA_2</t>
        </is>
      </c>
      <c r="D67" s="9" t="inlineStr">
        <is>
          <t>HOBBIES</t>
        </is>
      </c>
      <c r="E67" s="9" t="inlineStr">
        <is>
          <t>lumpy</t>
        </is>
      </c>
      <c r="F67" s="9" t="inlineStr">
        <is>
          <t>seasonal_ma</t>
        </is>
      </c>
      <c r="G67" s="18" t="n">
        <v>0.5714285714285714</v>
      </c>
      <c r="H67" s="12" t="n">
        <v>16</v>
      </c>
      <c r="I67" s="18" t="n">
        <v>1.468113463890698</v>
      </c>
      <c r="J67" s="18" t="n">
        <v>0.6517857142857143</v>
      </c>
      <c r="K67" s="13" t="n">
        <v>2.607142857142857</v>
      </c>
      <c r="L67" s="13" t="n">
        <v>1.571428571428571</v>
      </c>
      <c r="M67" s="13">
        <f>IF(AND(ISNUMBER(K67),ISNUMBER(L67),L67&gt;0),1-K67/L67,"n/a")</f>
        <v/>
      </c>
    </row>
    <row r="68">
      <c r="A68" s="9" t="inlineStr">
        <is>
          <t>SYN_HOBBIES_1_009_CA_2</t>
        </is>
      </c>
      <c r="B68" s="9" t="inlineStr">
        <is>
          <t>SYN_HOBBIES_1_009</t>
        </is>
      </c>
      <c r="C68" s="9" t="inlineStr">
        <is>
          <t>CA_2</t>
        </is>
      </c>
      <c r="D68" s="9" t="inlineStr">
        <is>
          <t>HOBBIES</t>
        </is>
      </c>
      <c r="E68" s="9" t="inlineStr">
        <is>
          <t>smooth</t>
        </is>
      </c>
      <c r="F68" s="9" t="inlineStr">
        <is>
          <t>moving_average</t>
        </is>
      </c>
      <c r="G68" s="18" t="n">
        <v>3.071428571428572</v>
      </c>
      <c r="H68" s="12" t="n">
        <v>86</v>
      </c>
      <c r="I68" s="18" t="n">
        <v>1.582429019403985</v>
      </c>
      <c r="J68" s="18" t="n">
        <v>1.625</v>
      </c>
      <c r="K68" s="13" t="n">
        <v>0.4945652173913043</v>
      </c>
      <c r="L68" s="13" t="n">
        <v>0.6304347826086957</v>
      </c>
      <c r="M68" s="13">
        <f>IF(AND(ISNUMBER(K68),ISNUMBER(L68),L68&gt;0),1-K68/L68,"n/a")</f>
        <v/>
      </c>
    </row>
    <row r="69">
      <c r="A69" s="9" t="inlineStr">
        <is>
          <t>SYN_HOBBIES_2_001_CA_2</t>
        </is>
      </c>
      <c r="B69" s="9" t="inlineStr">
        <is>
          <t>SYN_HOBBIES_2_001</t>
        </is>
      </c>
      <c r="C69" s="9" t="inlineStr">
        <is>
          <t>CA_2</t>
        </is>
      </c>
      <c r="D69" s="9" t="inlineStr">
        <is>
          <t>HOBBIES</t>
        </is>
      </c>
      <c r="E69" s="9" t="inlineStr">
        <is>
          <t>erratic</t>
        </is>
      </c>
      <c r="F69" s="9" t="inlineStr">
        <is>
          <t>sba</t>
        </is>
      </c>
      <c r="G69" s="18" t="n">
        <v>4.262877464294434</v>
      </c>
      <c r="H69" s="12" t="n">
        <v>119.3605690002441</v>
      </c>
      <c r="I69" s="18" t="n">
        <v>4.289306762599184</v>
      </c>
      <c r="J69" s="18" t="n">
        <v>3.5</v>
      </c>
      <c r="K69" s="13" t="n">
        <v>0.8032786885245902</v>
      </c>
      <c r="L69" s="13" t="n">
        <v>0.9344262295081968</v>
      </c>
      <c r="M69" s="13">
        <f>IF(AND(ISNUMBER(K69),ISNUMBER(L69),L69&gt;0),1-K69/L69,"n/a")</f>
        <v/>
      </c>
    </row>
    <row r="70">
      <c r="A70" s="9" t="inlineStr">
        <is>
          <t>SYN_HOBBIES_2_004_CA_2</t>
        </is>
      </c>
      <c r="B70" s="9" t="inlineStr">
        <is>
          <t>SYN_HOBBIES_2_004</t>
        </is>
      </c>
      <c r="C70" s="9" t="inlineStr">
        <is>
          <t>CA_2</t>
        </is>
      </c>
      <c r="D70" s="9" t="inlineStr">
        <is>
          <t>HOBBIES</t>
        </is>
      </c>
      <c r="E70" s="9" t="inlineStr">
        <is>
          <t>smooth</t>
        </is>
      </c>
      <c r="F70" s="9" t="inlineStr">
        <is>
          <t>gbm</t>
        </is>
      </c>
      <c r="G70" s="18" t="n">
        <v>15.46289753984576</v>
      </c>
      <c r="H70" s="12" t="n">
        <v>432.9611311156813</v>
      </c>
      <c r="I70" s="18" t="n">
        <v>4.649068145938148</v>
      </c>
      <c r="J70" s="18" t="n">
        <v>4.334279403119996</v>
      </c>
      <c r="K70" s="13" t="n">
        <v>0.3064642002206058</v>
      </c>
      <c r="L70" s="13" t="n">
        <v>0.5959595959595959</v>
      </c>
      <c r="M70" s="13">
        <f>IF(AND(ISNUMBER(K70),ISNUMBER(L70),L70&gt;0),1-K70/L70,"n/a")</f>
        <v/>
      </c>
    </row>
    <row r="71">
      <c r="A71" s="9" t="inlineStr">
        <is>
          <t>SYN_HOBBIES_2_006_CA_2</t>
        </is>
      </c>
      <c r="B71" s="9" t="inlineStr">
        <is>
          <t>SYN_HOBBIES_2_006</t>
        </is>
      </c>
      <c r="C71" s="9" t="inlineStr">
        <is>
          <t>CA_2</t>
        </is>
      </c>
      <c r="D71" s="9" t="inlineStr">
        <is>
          <t>HOBBIES</t>
        </is>
      </c>
      <c r="E71" s="9" t="inlineStr">
        <is>
          <t>smooth</t>
        </is>
      </c>
      <c r="F71" s="9" t="inlineStr">
        <is>
          <t>sba</t>
        </is>
      </c>
      <c r="G71" s="18" t="n">
        <v>10.8393611907959</v>
      </c>
      <c r="H71" s="12" t="n">
        <v>303.5021133422852</v>
      </c>
      <c r="I71" s="18" t="n">
        <v>3.510309600790994</v>
      </c>
      <c r="J71" s="18" t="n">
        <v>3.288153784615653</v>
      </c>
      <c r="K71" s="13" t="n">
        <v>0.2877134561538696</v>
      </c>
      <c r="L71" s="13" t="n">
        <v>0.35</v>
      </c>
      <c r="M71" s="13">
        <f>IF(AND(ISNUMBER(K71),ISNUMBER(L71),L71&gt;0),1-K71/L71,"n/a")</f>
        <v/>
      </c>
    </row>
    <row r="72">
      <c r="A72" s="9" t="inlineStr">
        <is>
          <t>SYN_HOBBIES_2_009_CA_2</t>
        </is>
      </c>
      <c r="B72" s="9" t="inlineStr">
        <is>
          <t>SYN_HOBBIES_2_009</t>
        </is>
      </c>
      <c r="C72" s="9" t="inlineStr">
        <is>
          <t>CA_2</t>
        </is>
      </c>
      <c r="D72" s="9" t="inlineStr">
        <is>
          <t>HOBBIES</t>
        </is>
      </c>
      <c r="E72" s="9" t="inlineStr">
        <is>
          <t>smooth</t>
        </is>
      </c>
      <c r="F72" s="9" t="inlineStr">
        <is>
          <t>gbm</t>
        </is>
      </c>
      <c r="G72" s="18" t="n">
        <v>25.98354456345601</v>
      </c>
      <c r="H72" s="12" t="n">
        <v>727.5392477767682</v>
      </c>
      <c r="I72" s="18" t="n">
        <v>6.118518756889928</v>
      </c>
      <c r="J72" s="18" t="n">
        <v>4.741455679031466</v>
      </c>
      <c r="K72" s="13" t="n">
        <v>0.1808729686823992</v>
      </c>
      <c r="L72" s="13" t="n">
        <v>0.1989100817438692</v>
      </c>
      <c r="M72" s="13">
        <f>IF(AND(ISNUMBER(K72),ISNUMBER(L72),L72&gt;0),1-K72/L72,"n/a")</f>
        <v/>
      </c>
    </row>
    <row r="73">
      <c r="A73" s="9" t="inlineStr">
        <is>
          <t>SYN_HOUSEHOLD_1_002_CA_2</t>
        </is>
      </c>
      <c r="B73" s="9" t="inlineStr">
        <is>
          <t>SYN_HOUSEHOLD_1_002</t>
        </is>
      </c>
      <c r="C73" s="9" t="inlineStr">
        <is>
          <t>CA_2</t>
        </is>
      </c>
      <c r="D73" s="9" t="inlineStr">
        <is>
          <t>HOUSEHOLD</t>
        </is>
      </c>
      <c r="E73" s="9" t="inlineStr">
        <is>
          <t>smooth</t>
        </is>
      </c>
      <c r="F73" s="9" t="inlineStr">
        <is>
          <t>gbm</t>
        </is>
      </c>
      <c r="G73" s="18" t="n">
        <v>22.93032583296602</v>
      </c>
      <c r="H73" s="12" t="n">
        <v>642.0491233230487</v>
      </c>
      <c r="I73" s="18" t="n">
        <v>6.168484247048837</v>
      </c>
      <c r="J73" s="18" t="n">
        <v>5.761644854881467</v>
      </c>
      <c r="K73" s="13" t="n">
        <v>0.2348268645366537</v>
      </c>
      <c r="L73" s="13" t="n">
        <v>0.3595342066957787</v>
      </c>
      <c r="M73" s="13">
        <f>IF(AND(ISNUMBER(K73),ISNUMBER(L73),L73&gt;0),1-K73/L73,"n/a")</f>
        <v/>
      </c>
    </row>
    <row r="74">
      <c r="A74" s="9" t="inlineStr">
        <is>
          <t>SYN_HOUSEHOLD_1_004_CA_2</t>
        </is>
      </c>
      <c r="B74" s="9" t="inlineStr">
        <is>
          <t>SYN_HOUSEHOLD_1_004</t>
        </is>
      </c>
      <c r="C74" s="9" t="inlineStr">
        <is>
          <t>CA_2</t>
        </is>
      </c>
      <c r="D74" s="9" t="inlineStr">
        <is>
          <t>HOUSEHOLD</t>
        </is>
      </c>
      <c r="E74" s="9" t="inlineStr">
        <is>
          <t>intermittent</t>
        </is>
      </c>
      <c r="F74" s="9" t="inlineStr">
        <is>
          <t>moving_average</t>
        </is>
      </c>
      <c r="G74" s="18" t="n">
        <v>1.303571428571429</v>
      </c>
      <c r="H74" s="12" t="n">
        <v>36.50000000000001</v>
      </c>
      <c r="I74" s="18" t="n">
        <v>1.4184687381162</v>
      </c>
      <c r="J74" s="18" t="n">
        <v>0.8035714285714286</v>
      </c>
      <c r="K74" s="13" t="n">
        <v>0.6428571428571429</v>
      </c>
      <c r="L74" s="13" t="n">
        <v>0.7714285714285715</v>
      </c>
      <c r="M74" s="13">
        <f>IF(AND(ISNUMBER(K74),ISNUMBER(L74),L74&gt;0),1-K74/L74,"n/a")</f>
        <v/>
      </c>
    </row>
    <row r="75">
      <c r="A75" s="9" t="inlineStr">
        <is>
          <t>SYN_HOUSEHOLD_1_006_CA_2</t>
        </is>
      </c>
      <c r="B75" s="9" t="inlineStr">
        <is>
          <t>SYN_HOUSEHOLD_1_006</t>
        </is>
      </c>
      <c r="C75" s="9" t="inlineStr">
        <is>
          <t>CA_2</t>
        </is>
      </c>
      <c r="D75" s="9" t="inlineStr">
        <is>
          <t>HOUSEHOLD</t>
        </is>
      </c>
      <c r="E75" s="9" t="inlineStr">
        <is>
          <t>intermittent</t>
        </is>
      </c>
      <c r="F75" s="9" t="inlineStr">
        <is>
          <t>sba</t>
        </is>
      </c>
      <c r="G75" s="18" t="n">
        <v>0.2237527519464492</v>
      </c>
      <c r="H75" s="12" t="n">
        <v>6.26507705450058</v>
      </c>
      <c r="I75" s="18" t="n">
        <v>0.5815038278661376</v>
      </c>
      <c r="J75" s="18" t="n">
        <v>0.5101531211818967</v>
      </c>
      <c r="K75" s="13" t="n">
        <v>1.428428739309311</v>
      </c>
      <c r="L75" s="13" t="n">
        <v>1</v>
      </c>
      <c r="M75" s="13">
        <f>IF(AND(ISNUMBER(K75),ISNUMBER(L75),L75&gt;0),1-K75/L75,"n/a")</f>
        <v/>
      </c>
    </row>
    <row r="76">
      <c r="A76" s="9" t="inlineStr">
        <is>
          <t>SYN_HOUSEHOLD_1_008_CA_2</t>
        </is>
      </c>
      <c r="B76" s="9" t="inlineStr">
        <is>
          <t>SYN_HOUSEHOLD_1_008</t>
        </is>
      </c>
      <c r="C76" s="9" t="inlineStr">
        <is>
          <t>CA_2</t>
        </is>
      </c>
      <c r="D76" s="9" t="inlineStr">
        <is>
          <t>HOUSEHOLD</t>
        </is>
      </c>
      <c r="E76" s="9" t="inlineStr">
        <is>
          <t>smooth</t>
        </is>
      </c>
      <c r="F76" s="9" t="inlineStr">
        <is>
          <t>gbm</t>
        </is>
      </c>
      <c r="G76" s="18" t="n">
        <v>14.52514654107</v>
      </c>
      <c r="H76" s="12" t="n">
        <v>406.7041031499601</v>
      </c>
      <c r="I76" s="18" t="n">
        <v>4.762477917533857</v>
      </c>
      <c r="J76" s="18" t="n">
        <v>3.086740137892025</v>
      </c>
      <c r="K76" s="13" t="n">
        <v>0.2280441262822604</v>
      </c>
      <c r="L76" s="13" t="n">
        <v>0.3192612137203166</v>
      </c>
      <c r="M76" s="13">
        <f>IF(AND(ISNUMBER(K76),ISNUMBER(L76),L76&gt;0),1-K76/L76,"n/a")</f>
        <v/>
      </c>
    </row>
    <row r="77">
      <c r="A77" s="9" t="inlineStr">
        <is>
          <t>SYN_HOUSEHOLD_1_009_CA_2</t>
        </is>
      </c>
      <c r="B77" s="9" t="inlineStr">
        <is>
          <t>SYN_HOUSEHOLD_1_009</t>
        </is>
      </c>
      <c r="C77" s="9" t="inlineStr">
        <is>
          <t>CA_2</t>
        </is>
      </c>
      <c r="D77" s="9" t="inlineStr">
        <is>
          <t>HOUSEHOLD</t>
        </is>
      </c>
      <c r="E77" s="9" t="inlineStr">
        <is>
          <t>smooth</t>
        </is>
      </c>
      <c r="F77" s="9" t="inlineStr">
        <is>
          <t>seasonal_ma</t>
        </is>
      </c>
      <c r="G77" s="18" t="n">
        <v>11.05357142857143</v>
      </c>
      <c r="H77" s="12" t="n">
        <v>309.5</v>
      </c>
      <c r="I77" s="18" t="n">
        <v>4.241640939205351</v>
      </c>
      <c r="J77" s="18" t="n">
        <v>2.4375</v>
      </c>
      <c r="K77" s="13" t="n">
        <v>0.2267441860465116</v>
      </c>
      <c r="L77" s="13" t="n">
        <v>0.2624584717607973</v>
      </c>
      <c r="M77" s="13">
        <f>IF(AND(ISNUMBER(K77),ISNUMBER(L77),L77&gt;0),1-K77/L77,"n/a")</f>
        <v/>
      </c>
    </row>
    <row r="78">
      <c r="A78" s="9" t="inlineStr">
        <is>
          <t>SYN_HOUSEHOLD_2_001_CA_2</t>
        </is>
      </c>
      <c r="B78" s="9" t="inlineStr">
        <is>
          <t>SYN_HOUSEHOLD_2_001</t>
        </is>
      </c>
      <c r="C78" s="9" t="inlineStr">
        <is>
          <t>CA_2</t>
        </is>
      </c>
      <c r="D78" s="9" t="inlineStr">
        <is>
          <t>HOUSEHOLD</t>
        </is>
      </c>
      <c r="E78" s="9" t="inlineStr">
        <is>
          <t>smooth</t>
        </is>
      </c>
      <c r="F78" s="9" t="inlineStr">
        <is>
          <t>moving_average</t>
        </is>
      </c>
      <c r="G78" s="18" t="n">
        <v>13.05357142857143</v>
      </c>
      <c r="H78" s="12" t="n">
        <v>365.5000000000001</v>
      </c>
      <c r="I78" s="18" t="n">
        <v>4.239151849942149</v>
      </c>
      <c r="J78" s="18" t="n">
        <v>3.321428571428572</v>
      </c>
      <c r="K78" s="13" t="n">
        <v>0.2447368421052631</v>
      </c>
      <c r="L78" s="13" t="n">
        <v>0.4421052631578947</v>
      </c>
      <c r="M78" s="13">
        <f>IF(AND(ISNUMBER(K78),ISNUMBER(L78),L78&gt;0),1-K78/L78,"n/a")</f>
        <v/>
      </c>
    </row>
    <row r="79">
      <c r="A79" s="9" t="inlineStr">
        <is>
          <t>SYN_HOUSEHOLD_2_002_CA_2</t>
        </is>
      </c>
      <c r="B79" s="9" t="inlineStr">
        <is>
          <t>SYN_HOUSEHOLD_2_002</t>
        </is>
      </c>
      <c r="C79" s="9" t="inlineStr">
        <is>
          <t>CA_2</t>
        </is>
      </c>
      <c r="D79" s="9" t="inlineStr">
        <is>
          <t>HOUSEHOLD</t>
        </is>
      </c>
      <c r="E79" s="9" t="inlineStr">
        <is>
          <t>intermittent</t>
        </is>
      </c>
      <c r="F79" s="9" t="inlineStr">
        <is>
          <t>seasonal_naive</t>
        </is>
      </c>
      <c r="G79" s="18" t="n">
        <v>0.5714285714285714</v>
      </c>
      <c r="H79" s="12" t="n">
        <v>16</v>
      </c>
      <c r="I79" s="18" t="n">
        <v>1.186230524452502</v>
      </c>
      <c r="J79" s="18" t="n">
        <v>0.3928571428571428</v>
      </c>
      <c r="K79" s="13" t="n">
        <v>1.571428571428571</v>
      </c>
      <c r="L79" s="13" t="n">
        <v>1.571428571428571</v>
      </c>
      <c r="M79" s="13">
        <f>IF(AND(ISNUMBER(K79),ISNUMBER(L79),L79&gt;0),1-K79/L79,"n/a")</f>
        <v/>
      </c>
    </row>
    <row r="80">
      <c r="A80" s="9" t="inlineStr">
        <is>
          <t>SYN_HOUSEHOLD_2_003_CA_2</t>
        </is>
      </c>
      <c r="B80" s="9" t="inlineStr">
        <is>
          <t>SYN_HOUSEHOLD_2_003</t>
        </is>
      </c>
      <c r="C80" s="9" t="inlineStr">
        <is>
          <t>CA_2</t>
        </is>
      </c>
      <c r="D80" s="9" t="inlineStr">
        <is>
          <t>HOUSEHOLD</t>
        </is>
      </c>
      <c r="E80" s="9" t="inlineStr">
        <is>
          <t>erratic</t>
        </is>
      </c>
      <c r="F80" s="9" t="inlineStr">
        <is>
          <t>sba</t>
        </is>
      </c>
      <c r="G80" s="18" t="n">
        <v>3.805057525634766</v>
      </c>
      <c r="H80" s="12" t="n">
        <v>106.5416107177734</v>
      </c>
      <c r="I80" s="18" t="n">
        <v>3.855233316836158</v>
      </c>
      <c r="J80" s="18" t="n">
        <v>3.23345068522862</v>
      </c>
      <c r="K80" s="13" t="n">
        <v>0.9333672081072306</v>
      </c>
      <c r="L80" s="13" t="n">
        <v>0.9381443298969072</v>
      </c>
      <c r="M80" s="13">
        <f>IF(AND(ISNUMBER(K80),ISNUMBER(L80),L80&gt;0),1-K80/L80,"n/a")</f>
        <v/>
      </c>
    </row>
    <row r="81">
      <c r="A81" s="9" t="inlineStr">
        <is>
          <t>SYN_HOUSEHOLD_2_004_CA_2</t>
        </is>
      </c>
      <c r="B81" s="9" t="inlineStr">
        <is>
          <t>SYN_HOUSEHOLD_2_004</t>
        </is>
      </c>
      <c r="C81" s="9" t="inlineStr">
        <is>
          <t>CA_2</t>
        </is>
      </c>
      <c r="D81" s="9" t="inlineStr">
        <is>
          <t>HOUSEHOLD</t>
        </is>
      </c>
      <c r="E81" s="9" t="inlineStr">
        <is>
          <t>smooth</t>
        </is>
      </c>
      <c r="F81" s="9" t="inlineStr">
        <is>
          <t>seasonal_ma</t>
        </is>
      </c>
      <c r="G81" s="18" t="n">
        <v>22.55357142857143</v>
      </c>
      <c r="H81" s="12" t="n">
        <v>631.5</v>
      </c>
      <c r="I81" s="18" t="n">
        <v>6.155282284347323</v>
      </c>
      <c r="J81" s="18" t="n">
        <v>4.526785714285714</v>
      </c>
      <c r="K81" s="13" t="n">
        <v>0.1935114503816793</v>
      </c>
      <c r="L81" s="13" t="n">
        <v>0.2763358778625954</v>
      </c>
      <c r="M81" s="13">
        <f>IF(AND(ISNUMBER(K81),ISNUMBER(L81),L81&gt;0),1-K81/L81,"n/a")</f>
        <v/>
      </c>
    </row>
    <row r="82">
      <c r="A82" s="9" t="inlineStr">
        <is>
          <t>SYN_HOUSEHOLD_2_005_CA_2</t>
        </is>
      </c>
      <c r="B82" s="9" t="inlineStr">
        <is>
          <t>SYN_HOUSEHOLD_2_005</t>
        </is>
      </c>
      <c r="C82" s="9" t="inlineStr">
        <is>
          <t>CA_2</t>
        </is>
      </c>
      <c r="D82" s="9" t="inlineStr">
        <is>
          <t>HOUSEHOLD</t>
        </is>
      </c>
      <c r="E82" s="9" t="inlineStr">
        <is>
          <t>intermittent</t>
        </is>
      </c>
      <c r="F82" s="9" t="inlineStr">
        <is>
          <t>moving_average</t>
        </is>
      </c>
      <c r="G82" s="18" t="n">
        <v>0.9464285714285716</v>
      </c>
      <c r="H82" s="12" t="n">
        <v>26.50000000000001</v>
      </c>
      <c r="I82" s="18" t="n">
        <v>1.148479479270642</v>
      </c>
      <c r="J82" s="18" t="n">
        <v>0.860969387755102</v>
      </c>
      <c r="K82" s="13" t="n">
        <v>0.9271978021978022</v>
      </c>
      <c r="L82" s="13" t="n">
        <v>1.076923076923077</v>
      </c>
      <c r="M82" s="13">
        <f>IF(AND(ISNUMBER(K82),ISNUMBER(L82),L82&gt;0),1-K82/L82,"n/a")</f>
        <v/>
      </c>
    </row>
    <row r="83">
      <c r="A83" s="9" t="inlineStr">
        <is>
          <t>SYN_HOUSEHOLD_2_006_CA_2</t>
        </is>
      </c>
      <c r="B83" s="9" t="inlineStr">
        <is>
          <t>SYN_HOUSEHOLD_2_006</t>
        </is>
      </c>
      <c r="C83" s="9" t="inlineStr">
        <is>
          <t>CA_2</t>
        </is>
      </c>
      <c r="D83" s="9" t="inlineStr">
        <is>
          <t>HOUSEHOLD</t>
        </is>
      </c>
      <c r="E83" s="9" t="inlineStr">
        <is>
          <t>erratic</t>
        </is>
      </c>
      <c r="F83" s="9" t="inlineStr">
        <is>
          <t>gbm</t>
        </is>
      </c>
      <c r="G83" s="18" t="n">
        <v>7.420317186939287</v>
      </c>
      <c r="H83" s="12" t="n">
        <v>207.7688812343</v>
      </c>
      <c r="I83" s="18" t="n">
        <v>6.857038213661257</v>
      </c>
      <c r="J83" s="18" t="n">
        <v>4.554293466316707</v>
      </c>
      <c r="K83" s="13" t="n">
        <v>0.6855925648218698</v>
      </c>
      <c r="L83" s="13" t="n">
        <v>1.172043010752688</v>
      </c>
      <c r="M83" s="13">
        <f>IF(AND(ISNUMBER(K83),ISNUMBER(L83),L83&gt;0),1-K83/L83,"n/a")</f>
        <v/>
      </c>
    </row>
    <row r="84">
      <c r="A84" s="9" t="inlineStr">
        <is>
          <t>SYN_HOUSEHOLD_2_008_CA_2</t>
        </is>
      </c>
      <c r="B84" s="9" t="inlineStr">
        <is>
          <t>SYN_HOUSEHOLD_2_008</t>
        </is>
      </c>
      <c r="C84" s="9" t="inlineStr">
        <is>
          <t>CA_2</t>
        </is>
      </c>
      <c r="D84" s="9" t="inlineStr">
        <is>
          <t>HOUSEHOLD</t>
        </is>
      </c>
      <c r="E84" s="9" t="inlineStr">
        <is>
          <t>erratic</t>
        </is>
      </c>
      <c r="F84" s="9" t="inlineStr">
        <is>
          <t>sba</t>
        </is>
      </c>
      <c r="G84" s="18" t="n">
        <v>3.769969463348389</v>
      </c>
      <c r="H84" s="12" t="n">
        <v>105.5591449737549</v>
      </c>
      <c r="I84" s="18" t="n">
        <v>3.072028919414721</v>
      </c>
      <c r="J84" s="18" t="n">
        <v>2.718608498573303</v>
      </c>
      <c r="K84" s="13" t="n">
        <v>0.6796521246433258</v>
      </c>
      <c r="L84" s="13" t="n">
        <v>0.8928571428571429</v>
      </c>
      <c r="M84" s="13">
        <f>IF(AND(ISNUMBER(K84),ISNUMBER(L84),L84&gt;0),1-K84/L84,"n/a")</f>
        <v/>
      </c>
    </row>
    <row r="87">
      <c r="A87" s="3" t="inlineStr">
        <is>
          <t>Holdout accuracy by method - model stores, all series (Python)</t>
        </is>
      </c>
    </row>
    <row r="88">
      <c r="A88" s="19" t="inlineStr">
        <is>
          <t>Method</t>
        </is>
      </c>
      <c r="B88" s="19" t="inlineStr">
        <is>
          <t>Series</t>
        </is>
      </c>
      <c r="C88" s="19" t="inlineStr">
        <is>
          <t>MAE</t>
        </is>
      </c>
      <c r="D88" s="19" t="inlineStr">
        <is>
          <t>WAPE</t>
        </is>
      </c>
      <c r="E88" s="19" t="inlineStr">
        <is>
          <t>Bias</t>
        </is>
      </c>
      <c r="F88" s="19" t="inlineStr">
        <is>
          <t>MASE</t>
        </is>
      </c>
    </row>
    <row r="89">
      <c r="A89" t="inlineStr">
        <is>
          <t>Gradient boosting</t>
        </is>
      </c>
      <c r="B89" s="20" t="n">
        <v>126</v>
      </c>
      <c r="C89" s="21" t="n">
        <v>2.349406750499186</v>
      </c>
      <c r="D89" s="22" t="n">
        <v>0.3642267001696678</v>
      </c>
      <c r="E89" s="22" t="n">
        <v>0.0018478080287256</v>
      </c>
      <c r="F89" s="21" t="n">
        <v>0.7899573161177433</v>
      </c>
    </row>
    <row r="90">
      <c r="A90" t="inlineStr">
        <is>
          <t>Moving average</t>
        </is>
      </c>
      <c r="B90" s="20" t="n">
        <v>126</v>
      </c>
      <c r="C90" s="21" t="n">
        <v>2.424046404275996</v>
      </c>
      <c r="D90" s="22" t="n">
        <v>0.3757980276084595</v>
      </c>
      <c r="E90" s="22" t="n">
        <v>0.0044601661027376</v>
      </c>
      <c r="F90" s="21" t="n">
        <v>0.8242423758416906</v>
      </c>
    </row>
    <row r="91">
      <c r="A91" t="inlineStr">
        <is>
          <t>Croston-SBA</t>
        </is>
      </c>
      <c r="B91" s="20" t="n">
        <v>126</v>
      </c>
      <c r="C91" s="21" t="n">
        <v>2.414379364610259</v>
      </c>
      <c r="D91" s="22" t="n">
        <v>0.3742993539721841</v>
      </c>
      <c r="E91" s="22" t="n">
        <v>-0.0154434973663346</v>
      </c>
      <c r="F91" s="21" t="n">
        <v>0.8157398683400521</v>
      </c>
    </row>
    <row r="92">
      <c r="A92" t="inlineStr">
        <is>
          <t>Seasonal moving average</t>
        </is>
      </c>
      <c r="B92" s="20" t="n">
        <v>126</v>
      </c>
      <c r="C92" s="21" t="n">
        <v>2.45436507936508</v>
      </c>
      <c r="D92" s="22" t="n">
        <v>0.3804983082128575</v>
      </c>
      <c r="E92" s="22" t="n">
        <v>0.0044601661027376</v>
      </c>
      <c r="F92" s="21" t="n">
        <v>0.8359579099642019</v>
      </c>
    </row>
    <row r="93">
      <c r="A93" t="inlineStr">
        <is>
          <t>Seasonal naive</t>
        </is>
      </c>
      <c r="B93" s="20" t="n">
        <v>126</v>
      </c>
      <c r="C93" s="21" t="n">
        <v>3.059807256235828</v>
      </c>
      <c r="D93" s="22" t="n">
        <v>0.4743595377246561</v>
      </c>
      <c r="E93" s="22" t="n">
        <v>-0.0100628378081469</v>
      </c>
      <c r="F93" s="21" t="n">
        <v>0.988229332343502</v>
      </c>
    </row>
    <row r="94">
      <c r="A94" t="inlineStr">
        <is>
          <t>Selected per series</t>
        </is>
      </c>
      <c r="B94" s="20" t="n">
        <v>126</v>
      </c>
      <c r="C94" s="21" t="n">
        <v>2.381376511451061</v>
      </c>
      <c r="D94" s="22" t="n">
        <v>0.3691829473304628</v>
      </c>
      <c r="E94" s="22" t="n">
        <v>0.0036306753240103</v>
      </c>
      <c r="F94" s="21" t="n">
        <v>0.82147730036932</v>
      </c>
    </row>
  </sheetData>
  <autoFilter ref="A4:M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17E83"/>
    <outlinePr summaryBelow="1" summaryRight="1"/>
    <pageSetUpPr/>
  </sheetPr>
  <dimension ref="A1:W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7" customWidth="1" min="3" max="3"/>
    <col width="11" customWidth="1" min="4" max="4"/>
    <col width="12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9" customWidth="1" min="11" max="11"/>
    <col width="7" customWidth="1" min="12" max="12"/>
    <col width="9" customWidth="1" min="13" max="13"/>
    <col width="9" customWidth="1" min="14" max="14"/>
    <col width="7" customWidth="1" min="15" max="15"/>
    <col width="10" customWidth="1" min="16" max="16"/>
    <col width="10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Safety stock (MODELED)</t>
        </is>
      </c>
    </row>
    <row r="2">
      <c r="A2" s="2" t="inlineStr">
        <is>
          <t>Live formulas. mu and sigma come from the Python forecasting engine; lead times are SIMULATED supplier terms.</t>
        </is>
      </c>
    </row>
    <row r="4" ht="32" customHeight="1">
      <c r="A4" s="5" t="inlineStr">
        <is>
          <t>Series</t>
        </is>
      </c>
      <c r="B4" s="5" t="inlineStr">
        <is>
          <t>Item</t>
        </is>
      </c>
      <c r="C4" s="5" t="inlineStr">
        <is>
          <t>Store</t>
        </is>
      </c>
      <c r="D4" s="5" t="inlineStr">
        <is>
          <t>Category</t>
        </is>
      </c>
      <c r="E4" s="5" t="inlineStr">
        <is>
          <t>Demand pattern</t>
        </is>
      </c>
      <c r="F4" s="5" t="inlineStr">
        <is>
          <t>mu: daily demand</t>
        </is>
      </c>
      <c r="G4" s="5" t="inlineStr">
        <is>
          <t>sigma: daily error</t>
        </is>
      </c>
      <c r="H4" s="5" t="inlineStr">
        <is>
          <t>Base lead time</t>
        </is>
      </c>
      <c r="I4" s="5" t="inlineStr">
        <is>
          <t>Base LT sd</t>
        </is>
      </c>
      <c r="J4" s="5" t="inlineStr">
        <is>
          <t>E[L] used</t>
        </is>
      </c>
      <c r="K4" s="5" t="inlineStr">
        <is>
          <t>sd(L) used</t>
        </is>
      </c>
      <c r="L4" s="5" t="inlineStr">
        <is>
          <t>R (days)</t>
        </is>
      </c>
      <c r="M4" s="5" t="inlineStr">
        <is>
          <t>P = E[L]+R</t>
        </is>
      </c>
      <c r="N4" s="5" t="inlineStr">
        <is>
          <t>sigma_P</t>
        </is>
      </c>
      <c r="O4" s="5" t="inlineStr">
        <is>
          <t>z</t>
        </is>
      </c>
      <c r="P4" s="5" t="inlineStr">
        <is>
          <t>SS (normal)</t>
        </is>
      </c>
      <c r="Q4" s="5" t="inlineStr">
        <is>
          <t>ROP (normal)</t>
        </is>
      </c>
      <c r="R4" s="5" t="inlineStr">
        <is>
          <t>Empirical ROP (Python, default P)</t>
        </is>
      </c>
      <c r="S4" s="5" t="inlineStr">
        <is>
          <t>Intermittent?</t>
        </is>
      </c>
      <c r="T4" s="5" t="inlineStr">
        <is>
          <t>ROP used</t>
        </is>
      </c>
      <c r="U4" s="5" t="inlineStr">
        <is>
          <t>Safety stock used</t>
        </is>
      </c>
      <c r="V4" s="5" t="inlineStr">
        <is>
          <t>Python ROP</t>
        </is>
      </c>
      <c r="W4" s="5" t="inlineStr">
        <is>
          <t>Check vs Python</t>
        </is>
      </c>
    </row>
    <row r="5">
      <c r="A5" s="9" t="inlineStr">
        <is>
          <t>SYN_FOODS_1_001_CA_1</t>
        </is>
      </c>
      <c r="B5" s="9" t="inlineStr">
        <is>
          <t>SYN_FOODS_1_001</t>
        </is>
      </c>
      <c r="C5" s="9" t="inlineStr">
        <is>
          <t>CA_1</t>
        </is>
      </c>
      <c r="D5" s="9" t="inlineStr">
        <is>
          <t>FOODS</t>
        </is>
      </c>
      <c r="E5" s="9" t="inlineStr">
        <is>
          <t>erratic</t>
        </is>
      </c>
      <c r="F5" s="18" t="n">
        <v>4.410714285714287</v>
      </c>
      <c r="G5" s="18" t="n">
        <v>3.815273743311889</v>
      </c>
      <c r="H5" s="12" t="n">
        <v>5</v>
      </c>
      <c r="I5" s="12" t="n">
        <v>1</v>
      </c>
      <c r="J5" s="12">
        <f>MAX(H5+Assumptions!$C$7,1)</f>
        <v/>
      </c>
      <c r="K5" s="17">
        <f>I5*Assumptions!$C$8</f>
        <v/>
      </c>
      <c r="L5" s="10">
        <f>Assumptions!$C$6</f>
        <v/>
      </c>
      <c r="M5" s="12">
        <f>J5+L5</f>
        <v/>
      </c>
      <c r="N5" s="17">
        <f>SQRT(M5*G5^2+F5^2*K5^2)</f>
        <v/>
      </c>
      <c r="O5" s="18">
        <f>Assumptions!$C$12</f>
        <v/>
      </c>
      <c r="P5" s="17">
        <f>O5*N5</f>
        <v/>
      </c>
      <c r="Q5" s="17">
        <f>F5*M5+P5</f>
        <v/>
      </c>
      <c r="R5" s="12" t="n"/>
      <c r="S5" s="9" t="b">
        <v>0</v>
      </c>
      <c r="T5" s="17">
        <f>IF(AND(S5,ISNUMBER(R5)),IF(R5&gt;Q5,R5,Q5),Q5)</f>
        <v/>
      </c>
      <c r="U5" s="17">
        <f>T5-F5*M5</f>
        <v/>
      </c>
      <c r="V5" s="17" t="n">
        <v>75.84641593751961</v>
      </c>
      <c r="W5" s="9">
        <f>IF(ABS(T5-V5)&lt;0.01,"OK","CHECK")</f>
        <v/>
      </c>
    </row>
    <row r="6">
      <c r="A6" s="9" t="inlineStr">
        <is>
          <t>SYN_FOODS_1_003_CA_1</t>
        </is>
      </c>
      <c r="B6" s="9" t="inlineStr">
        <is>
          <t>SYN_FOODS_1_003</t>
        </is>
      </c>
      <c r="C6" s="9" t="inlineStr">
        <is>
          <t>CA_1</t>
        </is>
      </c>
      <c r="D6" s="9" t="inlineStr">
        <is>
          <t>FOODS</t>
        </is>
      </c>
      <c r="E6" s="9" t="inlineStr">
        <is>
          <t>intermittent</t>
        </is>
      </c>
      <c r="F6" s="18" t="n">
        <v>0.8214285714285717</v>
      </c>
      <c r="G6" s="18" t="n">
        <v>1.212787940596584</v>
      </c>
      <c r="H6" s="12" t="n">
        <v>5</v>
      </c>
      <c r="I6" s="12" t="n">
        <v>1</v>
      </c>
      <c r="J6" s="12">
        <f>MAX(H6+Assumptions!$C$7,1)</f>
        <v/>
      </c>
      <c r="K6" s="17">
        <f>I6*Assumptions!$C$8</f>
        <v/>
      </c>
      <c r="L6" s="10">
        <f>Assumptions!$C$6</f>
        <v/>
      </c>
      <c r="M6" s="12">
        <f>J6+L6</f>
        <v/>
      </c>
      <c r="N6" s="17">
        <f>SQRT(M6*G6^2+F6^2*K6^2)</f>
        <v/>
      </c>
      <c r="O6" s="18">
        <f>Assumptions!$C$12</f>
        <v/>
      </c>
      <c r="P6" s="17">
        <f>O6*N6</f>
        <v/>
      </c>
      <c r="Q6" s="17">
        <f>F6*M6+P6</f>
        <v/>
      </c>
      <c r="R6" s="12" t="n">
        <v>17</v>
      </c>
      <c r="S6" s="9" t="b">
        <v>1</v>
      </c>
      <c r="T6" s="17">
        <f>IF(AND(S6,ISNUMBER(R6)),IF(R6&gt;Q6,R6,Q6),Q6)</f>
        <v/>
      </c>
      <c r="U6" s="17">
        <f>T6-F6*M6</f>
        <v/>
      </c>
      <c r="V6" s="17" t="n">
        <v>17</v>
      </c>
      <c r="W6" s="9">
        <f>IF(ABS(T6-V6)&lt;0.01,"OK","CHECK")</f>
        <v/>
      </c>
    </row>
    <row r="7">
      <c r="A7" s="9" t="inlineStr">
        <is>
          <t>SYN_FOODS_1_008_CA_1</t>
        </is>
      </c>
      <c r="B7" s="9" t="inlineStr">
        <is>
          <t>SYN_FOODS_1_008</t>
        </is>
      </c>
      <c r="C7" s="9" t="inlineStr">
        <is>
          <t>CA_1</t>
        </is>
      </c>
      <c r="D7" s="9" t="inlineStr">
        <is>
          <t>FOODS</t>
        </is>
      </c>
      <c r="E7" s="9" t="inlineStr">
        <is>
          <t>lumpy</t>
        </is>
      </c>
      <c r="F7" s="18" t="n">
        <v>2.371931797947051</v>
      </c>
      <c r="G7" s="18" t="n">
        <v>2.586700671411632</v>
      </c>
      <c r="H7" s="12" t="n">
        <v>5</v>
      </c>
      <c r="I7" s="12" t="n">
        <v>1</v>
      </c>
      <c r="J7" s="12">
        <f>MAX(H7+Assumptions!$C$7,1)</f>
        <v/>
      </c>
      <c r="K7" s="17">
        <f>I7*Assumptions!$C$8</f>
        <v/>
      </c>
      <c r="L7" s="10">
        <f>Assumptions!$C$6</f>
        <v/>
      </c>
      <c r="M7" s="12">
        <f>J7+L7</f>
        <v/>
      </c>
      <c r="N7" s="17">
        <f>SQRT(M7*G7^2+F7^2*K7^2)</f>
        <v/>
      </c>
      <c r="O7" s="18">
        <f>Assumptions!$C$12</f>
        <v/>
      </c>
      <c r="P7" s="17">
        <f>O7*N7</f>
        <v/>
      </c>
      <c r="Q7" s="17">
        <f>F7*M7+P7</f>
        <v/>
      </c>
      <c r="R7" s="12" t="n">
        <v>45</v>
      </c>
      <c r="S7" s="9" t="b">
        <v>1</v>
      </c>
      <c r="T7" s="17">
        <f>IF(AND(S7,ISNUMBER(R7)),IF(R7&gt;Q7,R7,Q7),Q7)</f>
        <v/>
      </c>
      <c r="U7" s="17">
        <f>T7-F7*M7</f>
        <v/>
      </c>
      <c r="V7" s="17" t="n">
        <v>45</v>
      </c>
      <c r="W7" s="9">
        <f>IF(ABS(T7-V7)&lt;0.01,"OK","CHECK")</f>
        <v/>
      </c>
    </row>
    <row r="8">
      <c r="A8" s="9" t="inlineStr">
        <is>
          <t>SYN_FOODS_1_009_CA_1</t>
        </is>
      </c>
      <c r="B8" s="9" t="inlineStr">
        <is>
          <t>SYN_FOODS_1_009</t>
        </is>
      </c>
      <c r="C8" s="9" t="inlineStr">
        <is>
          <t>CA_1</t>
        </is>
      </c>
      <c r="D8" s="9" t="inlineStr">
        <is>
          <t>FOODS</t>
        </is>
      </c>
      <c r="E8" s="9" t="inlineStr">
        <is>
          <t>smooth</t>
        </is>
      </c>
      <c r="F8" s="18" t="n">
        <v>13.73214285714285</v>
      </c>
      <c r="G8" s="18" t="n">
        <v>4.27954168932514</v>
      </c>
      <c r="H8" s="12" t="n">
        <v>5</v>
      </c>
      <c r="I8" s="12" t="n">
        <v>1</v>
      </c>
      <c r="J8" s="12">
        <f>MAX(H8+Assumptions!$C$7,1)</f>
        <v/>
      </c>
      <c r="K8" s="17">
        <f>I8*Assumptions!$C$8</f>
        <v/>
      </c>
      <c r="L8" s="10">
        <f>Assumptions!$C$6</f>
        <v/>
      </c>
      <c r="M8" s="12">
        <f>J8+L8</f>
        <v/>
      </c>
      <c r="N8" s="17">
        <f>SQRT(M8*G8^2+F8^2*K8^2)</f>
        <v/>
      </c>
      <c r="O8" s="18">
        <f>Assumptions!$C$12</f>
        <v/>
      </c>
      <c r="P8" s="17">
        <f>O8*N8</f>
        <v/>
      </c>
      <c r="Q8" s="17">
        <f>F8*M8+P8</f>
        <v/>
      </c>
      <c r="R8" s="12" t="n"/>
      <c r="S8" s="9" t="b">
        <v>0</v>
      </c>
      <c r="T8" s="17">
        <f>IF(AND(S8,ISNUMBER(R8)),IF(R8&gt;Q8,R8,Q8),Q8)</f>
        <v/>
      </c>
      <c r="U8" s="17">
        <f>T8-F8*M8</f>
        <v/>
      </c>
      <c r="V8" s="17" t="n">
        <v>198.0241922463682</v>
      </c>
      <c r="W8" s="9">
        <f>IF(ABS(T8-V8)&lt;0.01,"OK","CHECK")</f>
        <v/>
      </c>
    </row>
    <row r="9">
      <c r="A9" s="9" t="inlineStr">
        <is>
          <t>SYN_FOODS_2_004_CA_1</t>
        </is>
      </c>
      <c r="B9" s="9" t="inlineStr">
        <is>
          <t>SYN_FOODS_2_004</t>
        </is>
      </c>
      <c r="C9" s="9" t="inlineStr">
        <is>
          <t>CA_1</t>
        </is>
      </c>
      <c r="D9" s="9" t="inlineStr">
        <is>
          <t>FOODS</t>
        </is>
      </c>
      <c r="E9" s="9" t="inlineStr">
        <is>
          <t>intermittent</t>
        </is>
      </c>
      <c r="F9" s="18" t="n">
        <v>0.9757014513015748</v>
      </c>
      <c r="G9" s="18" t="n">
        <v>1.247839304044549</v>
      </c>
      <c r="H9" s="12" t="n">
        <v>6</v>
      </c>
      <c r="I9" s="12" t="n">
        <v>1.5</v>
      </c>
      <c r="J9" s="12">
        <f>MAX(H9+Assumptions!$C$7,1)</f>
        <v/>
      </c>
      <c r="K9" s="17">
        <f>I9*Assumptions!$C$8</f>
        <v/>
      </c>
      <c r="L9" s="10">
        <f>Assumptions!$C$6</f>
        <v/>
      </c>
      <c r="M9" s="12">
        <f>J9+L9</f>
        <v/>
      </c>
      <c r="N9" s="17">
        <f>SQRT(M9*G9^2+F9^2*K9^2)</f>
        <v/>
      </c>
      <c r="O9" s="18">
        <f>Assumptions!$C$12</f>
        <v/>
      </c>
      <c r="P9" s="17">
        <f>O9*N9</f>
        <v/>
      </c>
      <c r="Q9" s="17">
        <f>F9*M9+P9</f>
        <v/>
      </c>
      <c r="R9" s="12" t="n">
        <v>19</v>
      </c>
      <c r="S9" s="9" t="b">
        <v>1</v>
      </c>
      <c r="T9" s="17">
        <f>IF(AND(S9,ISNUMBER(R9)),IF(R9&gt;Q9,R9,Q9),Q9)</f>
        <v/>
      </c>
      <c r="U9" s="17">
        <f>T9-F9*M9</f>
        <v/>
      </c>
      <c r="V9" s="17" t="n">
        <v>20.46626243813652</v>
      </c>
      <c r="W9" s="9">
        <f>IF(ABS(T9-V9)&lt;0.01,"OK","CHECK")</f>
        <v/>
      </c>
    </row>
    <row r="10">
      <c r="A10" s="9" t="inlineStr">
        <is>
          <t>SYN_FOODS_2_005_CA_1</t>
        </is>
      </c>
      <c r="B10" s="9" t="inlineStr">
        <is>
          <t>SYN_FOODS_2_005</t>
        </is>
      </c>
      <c r="C10" s="9" t="inlineStr">
        <is>
          <t>CA_1</t>
        </is>
      </c>
      <c r="D10" s="9" t="inlineStr">
        <is>
          <t>FOODS</t>
        </is>
      </c>
      <c r="E10" s="9" t="inlineStr">
        <is>
          <t>lumpy</t>
        </is>
      </c>
      <c r="F10" s="18" t="n">
        <v>1.5</v>
      </c>
      <c r="G10" s="18" t="n">
        <v>2.894653322445169</v>
      </c>
      <c r="H10" s="12" t="n">
        <v>6</v>
      </c>
      <c r="I10" s="12" t="n">
        <v>1.5</v>
      </c>
      <c r="J10" s="12">
        <f>MAX(H10+Assumptions!$C$7,1)</f>
        <v/>
      </c>
      <c r="K10" s="17">
        <f>I10*Assumptions!$C$8</f>
        <v/>
      </c>
      <c r="L10" s="10">
        <f>Assumptions!$C$6</f>
        <v/>
      </c>
      <c r="M10" s="12">
        <f>J10+L10</f>
        <v/>
      </c>
      <c r="N10" s="17">
        <f>SQRT(M10*G10^2+F10^2*K10^2)</f>
        <v/>
      </c>
      <c r="O10" s="18">
        <f>Assumptions!$C$12</f>
        <v/>
      </c>
      <c r="P10" s="17">
        <f>O10*N10</f>
        <v/>
      </c>
      <c r="Q10" s="17">
        <f>F10*M10+P10</f>
        <v/>
      </c>
      <c r="R10" s="12" t="n">
        <v>48</v>
      </c>
      <c r="S10" s="9" t="b">
        <v>1</v>
      </c>
      <c r="T10" s="17">
        <f>IF(AND(S10,ISNUMBER(R10)),IF(R10&gt;Q10,R10,Q10),Q10)</f>
        <v/>
      </c>
      <c r="U10" s="17">
        <f>T10-F10*M10</f>
        <v/>
      </c>
      <c r="V10" s="17" t="n">
        <v>48</v>
      </c>
      <c r="W10" s="9">
        <f>IF(ABS(T10-V10)&lt;0.01,"OK","CHECK")</f>
        <v/>
      </c>
    </row>
    <row r="11">
      <c r="A11" s="9" t="inlineStr">
        <is>
          <t>SYN_FOODS_2_006_CA_1</t>
        </is>
      </c>
      <c r="B11" s="9" t="inlineStr">
        <is>
          <t>SYN_FOODS_2_006</t>
        </is>
      </c>
      <c r="C11" s="9" t="inlineStr">
        <is>
          <t>CA_1</t>
        </is>
      </c>
      <c r="D11" s="9" t="inlineStr">
        <is>
          <t>FOODS</t>
        </is>
      </c>
      <c r="E11" s="9" t="inlineStr">
        <is>
          <t>smooth</t>
        </is>
      </c>
      <c r="F11" s="18" t="n">
        <v>1.866178870201111</v>
      </c>
      <c r="G11" s="18" t="n">
        <v>1.479686501529771</v>
      </c>
      <c r="H11" s="12" t="n">
        <v>6</v>
      </c>
      <c r="I11" s="12" t="n">
        <v>1.5</v>
      </c>
      <c r="J11" s="12">
        <f>MAX(H11+Assumptions!$C$7,1)</f>
        <v/>
      </c>
      <c r="K11" s="17">
        <f>I11*Assumptions!$C$8</f>
        <v/>
      </c>
      <c r="L11" s="10">
        <f>Assumptions!$C$6</f>
        <v/>
      </c>
      <c r="M11" s="12">
        <f>J11+L11</f>
        <v/>
      </c>
      <c r="N11" s="17">
        <f>SQRT(M11*G11^2+F11^2*K11^2)</f>
        <v/>
      </c>
      <c r="O11" s="18">
        <f>Assumptions!$C$12</f>
        <v/>
      </c>
      <c r="P11" s="17">
        <f>O11*N11</f>
        <v/>
      </c>
      <c r="Q11" s="17">
        <f>F11*M11+P11</f>
        <v/>
      </c>
      <c r="R11" s="12" t="n"/>
      <c r="S11" s="9" t="b">
        <v>0</v>
      </c>
      <c r="T11" s="17">
        <f>IF(AND(S11,ISNUMBER(R11)),IF(R11&gt;Q11,R11,Q11),Q11)</f>
        <v/>
      </c>
      <c r="U11" s="17">
        <f>T11-F11*M11</f>
        <v/>
      </c>
      <c r="V11" s="17" t="n">
        <v>34.17035216848971</v>
      </c>
      <c r="W11" s="9">
        <f>IF(ABS(T11-V11)&lt;0.01,"OK","CHECK")</f>
        <v/>
      </c>
    </row>
    <row r="12">
      <c r="A12" s="9" t="inlineStr">
        <is>
          <t>SYN_FOODS_2_008_CA_1</t>
        </is>
      </c>
      <c r="B12" s="9" t="inlineStr">
        <is>
          <t>SYN_FOODS_2_008</t>
        </is>
      </c>
      <c r="C12" s="9" t="inlineStr">
        <is>
          <t>CA_1</t>
        </is>
      </c>
      <c r="D12" s="9" t="inlineStr">
        <is>
          <t>FOODS</t>
        </is>
      </c>
      <c r="E12" s="9" t="inlineStr">
        <is>
          <t>intermittent</t>
        </is>
      </c>
      <c r="F12" s="18" t="n">
        <v>0.8087106943130493</v>
      </c>
      <c r="G12" s="18" t="n">
        <v>1.032385826439701</v>
      </c>
      <c r="H12" s="12" t="n">
        <v>6</v>
      </c>
      <c r="I12" s="12" t="n">
        <v>1.5</v>
      </c>
      <c r="J12" s="12">
        <f>MAX(H12+Assumptions!$C$7,1)</f>
        <v/>
      </c>
      <c r="K12" s="17">
        <f>I12*Assumptions!$C$8</f>
        <v/>
      </c>
      <c r="L12" s="10">
        <f>Assumptions!$C$6</f>
        <v/>
      </c>
      <c r="M12" s="12">
        <f>J12+L12</f>
        <v/>
      </c>
      <c r="N12" s="17">
        <f>SQRT(M12*G12^2+F12^2*K12^2)</f>
        <v/>
      </c>
      <c r="O12" s="18">
        <f>Assumptions!$C$12</f>
        <v/>
      </c>
      <c r="P12" s="17">
        <f>O12*N12</f>
        <v/>
      </c>
      <c r="Q12" s="17">
        <f>F12*M12+P12</f>
        <v/>
      </c>
      <c r="R12" s="12" t="n">
        <v>16</v>
      </c>
      <c r="S12" s="9" t="b">
        <v>1</v>
      </c>
      <c r="T12" s="17">
        <f>IF(AND(S12,ISNUMBER(R12)),IF(R12&gt;Q12,R12,Q12),Q12)</f>
        <v/>
      </c>
      <c r="U12" s="17">
        <f>T12-F12*M12</f>
        <v/>
      </c>
      <c r="V12" s="17" t="n">
        <v>16.95283480314268</v>
      </c>
      <c r="W12" s="9">
        <f>IF(ABS(T12-V12)&lt;0.01,"OK","CHECK")</f>
        <v/>
      </c>
    </row>
    <row r="13">
      <c r="A13" s="9" t="inlineStr">
        <is>
          <t>SYN_FOODS_2_009_CA_1</t>
        </is>
      </c>
      <c r="B13" s="9" t="inlineStr">
        <is>
          <t>SYN_FOODS_2_009</t>
        </is>
      </c>
      <c r="C13" s="9" t="inlineStr">
        <is>
          <t>CA_1</t>
        </is>
      </c>
      <c r="D13" s="9" t="inlineStr">
        <is>
          <t>FOODS</t>
        </is>
      </c>
      <c r="E13" s="9" t="inlineStr">
        <is>
          <t>smooth</t>
        </is>
      </c>
      <c r="F13" s="18" t="n">
        <v>28.87986394589249</v>
      </c>
      <c r="G13" s="18" t="n">
        <v>7.494043729450441</v>
      </c>
      <c r="H13" s="12" t="n">
        <v>6</v>
      </c>
      <c r="I13" s="12" t="n">
        <v>1.5</v>
      </c>
      <c r="J13" s="12">
        <f>MAX(H13+Assumptions!$C$7,1)</f>
        <v/>
      </c>
      <c r="K13" s="17">
        <f>I13*Assumptions!$C$8</f>
        <v/>
      </c>
      <c r="L13" s="10">
        <f>Assumptions!$C$6</f>
        <v/>
      </c>
      <c r="M13" s="12">
        <f>J13+L13</f>
        <v/>
      </c>
      <c r="N13" s="17">
        <f>SQRT(M13*G13^2+F13^2*K13^2)</f>
        <v/>
      </c>
      <c r="O13" s="18">
        <f>Assumptions!$C$12</f>
        <v/>
      </c>
      <c r="P13" s="17">
        <f>O13*N13</f>
        <v/>
      </c>
      <c r="Q13" s="17">
        <f>F13*M13+P13</f>
        <v/>
      </c>
      <c r="R13" s="12" t="n"/>
      <c r="S13" s="9" t="b">
        <v>0</v>
      </c>
      <c r="T13" s="17">
        <f>IF(AND(S13,ISNUMBER(R13)),IF(R13&gt;Q13,R13,Q13),Q13)</f>
        <v/>
      </c>
      <c r="U13" s="17">
        <f>T13-F13*M13</f>
        <v/>
      </c>
      <c r="V13" s="17" t="n">
        <v>459.4175327936713</v>
      </c>
      <c r="W13" s="9">
        <f>IF(ABS(T13-V13)&lt;0.01,"OK","CHECK")</f>
        <v/>
      </c>
    </row>
    <row r="14">
      <c r="A14" s="9" t="inlineStr">
        <is>
          <t>SYN_FOODS_3_002_CA_1</t>
        </is>
      </c>
      <c r="B14" s="9" t="inlineStr">
        <is>
          <t>SYN_FOODS_3_002</t>
        </is>
      </c>
      <c r="C14" s="9" t="inlineStr">
        <is>
          <t>CA_1</t>
        </is>
      </c>
      <c r="D14" s="9" t="inlineStr">
        <is>
          <t>FOODS</t>
        </is>
      </c>
      <c r="E14" s="9" t="inlineStr">
        <is>
          <t>erratic</t>
        </is>
      </c>
      <c r="F14" s="18" t="n">
        <v>2.032340049743652</v>
      </c>
      <c r="G14" s="18" t="n">
        <v>2.298229270012248</v>
      </c>
      <c r="H14" s="12" t="n">
        <v>3</v>
      </c>
      <c r="I14" s="12" t="n">
        <v>0.8</v>
      </c>
      <c r="J14" s="12">
        <f>MAX(H14+Assumptions!$C$7,1)</f>
        <v/>
      </c>
      <c r="K14" s="17">
        <f>I14*Assumptions!$C$8</f>
        <v/>
      </c>
      <c r="L14" s="10">
        <f>Assumptions!$C$6</f>
        <v/>
      </c>
      <c r="M14" s="12">
        <f>J14+L14</f>
        <v/>
      </c>
      <c r="N14" s="17">
        <f>SQRT(M14*G14^2+F14^2*K14^2)</f>
        <v/>
      </c>
      <c r="O14" s="18">
        <f>Assumptions!$C$12</f>
        <v/>
      </c>
      <c r="P14" s="17">
        <f>O14*N14</f>
        <v/>
      </c>
      <c r="Q14" s="17">
        <f>F14*M14+P14</f>
        <v/>
      </c>
      <c r="R14" s="12" t="n"/>
      <c r="S14" s="9" t="b">
        <v>0</v>
      </c>
      <c r="T14" s="17">
        <f>IF(AND(S14,ISNUMBER(R14)),IF(R14&gt;Q14,R14,Q14),Q14)</f>
        <v/>
      </c>
      <c r="U14" s="17">
        <f>T14-F14*M14</f>
        <v/>
      </c>
      <c r="V14" s="17" t="n">
        <v>32.57309243740823</v>
      </c>
      <c r="W14" s="9">
        <f>IF(ABS(T14-V14)&lt;0.01,"OK","CHECK")</f>
        <v/>
      </c>
    </row>
    <row r="15">
      <c r="A15" s="9" t="inlineStr">
        <is>
          <t>SYN_FOODS_3_003_CA_1</t>
        </is>
      </c>
      <c r="B15" s="9" t="inlineStr">
        <is>
          <t>SYN_FOODS_3_003</t>
        </is>
      </c>
      <c r="C15" s="9" t="inlineStr">
        <is>
          <t>CA_1</t>
        </is>
      </c>
      <c r="D15" s="9" t="inlineStr">
        <is>
          <t>FOODS</t>
        </is>
      </c>
      <c r="E15" s="9" t="inlineStr">
        <is>
          <t>erratic</t>
        </is>
      </c>
      <c r="F15" s="18" t="n">
        <v>9.493672370910645</v>
      </c>
      <c r="G15" s="18" t="n">
        <v>8.252685096058311</v>
      </c>
      <c r="H15" s="12" t="n">
        <v>3</v>
      </c>
      <c r="I15" s="12" t="n">
        <v>0.8</v>
      </c>
      <c r="J15" s="12">
        <f>MAX(H15+Assumptions!$C$7,1)</f>
        <v/>
      </c>
      <c r="K15" s="17">
        <f>I15*Assumptions!$C$8</f>
        <v/>
      </c>
      <c r="L15" s="10">
        <f>Assumptions!$C$6</f>
        <v/>
      </c>
      <c r="M15" s="12">
        <f>J15+L15</f>
        <v/>
      </c>
      <c r="N15" s="17">
        <f>SQRT(M15*G15^2+F15^2*K15^2)</f>
        <v/>
      </c>
      <c r="O15" s="18">
        <f>Assumptions!$C$12</f>
        <v/>
      </c>
      <c r="P15" s="17">
        <f>O15*N15</f>
        <v/>
      </c>
      <c r="Q15" s="17">
        <f>F15*M15+P15</f>
        <v/>
      </c>
      <c r="R15" s="12" t="n"/>
      <c r="S15" s="9" t="b">
        <v>0</v>
      </c>
      <c r="T15" s="17">
        <f>IF(AND(S15,ISNUMBER(R15)),IF(R15&gt;Q15,R15,Q15),Q15)</f>
        <v/>
      </c>
      <c r="U15" s="17">
        <f>T15-F15*M15</f>
        <v/>
      </c>
      <c r="V15" s="17" t="n">
        <v>139.6438087666613</v>
      </c>
      <c r="W15" s="9">
        <f>IF(ABS(T15-V15)&lt;0.01,"OK","CHECK")</f>
        <v/>
      </c>
    </row>
    <row r="16">
      <c r="A16" s="9" t="inlineStr">
        <is>
          <t>SYN_FOODS_3_004_CA_1</t>
        </is>
      </c>
      <c r="B16" s="9" t="inlineStr">
        <is>
          <t>SYN_FOODS_3_004</t>
        </is>
      </c>
      <c r="C16" s="9" t="inlineStr">
        <is>
          <t>CA_1</t>
        </is>
      </c>
      <c r="D16" s="9" t="inlineStr">
        <is>
          <t>FOODS</t>
        </is>
      </c>
      <c r="E16" s="9" t="inlineStr">
        <is>
          <t>smooth</t>
        </is>
      </c>
      <c r="F16" s="18" t="n">
        <v>11.96210526829345</v>
      </c>
      <c r="G16" s="18" t="n">
        <v>3.550136285501008</v>
      </c>
      <c r="H16" s="12" t="n">
        <v>3</v>
      </c>
      <c r="I16" s="12" t="n">
        <v>0.8</v>
      </c>
      <c r="J16" s="12">
        <f>MAX(H16+Assumptions!$C$7,1)</f>
        <v/>
      </c>
      <c r="K16" s="17">
        <f>I16*Assumptions!$C$8</f>
        <v/>
      </c>
      <c r="L16" s="10">
        <f>Assumptions!$C$6</f>
        <v/>
      </c>
      <c r="M16" s="12">
        <f>J16+L16</f>
        <v/>
      </c>
      <c r="N16" s="17">
        <f>SQRT(M16*G16^2+F16^2*K16^2)</f>
        <v/>
      </c>
      <c r="O16" s="18">
        <f>Assumptions!$C$12</f>
        <v/>
      </c>
      <c r="P16" s="17">
        <f>O16*N16</f>
        <v/>
      </c>
      <c r="Q16" s="17">
        <f>F16*M16+P16</f>
        <v/>
      </c>
      <c r="R16" s="12" t="n"/>
      <c r="S16" s="9" t="b">
        <v>0</v>
      </c>
      <c r="T16" s="17">
        <f>IF(AND(S16,ISNUMBER(R16)),IF(R16&gt;Q16,R16,Q16),Q16)</f>
        <v/>
      </c>
      <c r="U16" s="17">
        <f>T16-F16*M16</f>
        <v/>
      </c>
      <c r="V16" s="17" t="n">
        <v>143.8854889399629</v>
      </c>
      <c r="W16" s="9">
        <f>IF(ABS(T16-V16)&lt;0.01,"OK","CHECK")</f>
        <v/>
      </c>
    </row>
    <row r="17">
      <c r="A17" s="9" t="inlineStr">
        <is>
          <t>SYN_FOODS_3_005_CA_1</t>
        </is>
      </c>
      <c r="B17" s="9" t="inlineStr">
        <is>
          <t>SYN_FOODS_3_005</t>
        </is>
      </c>
      <c r="C17" s="9" t="inlineStr">
        <is>
          <t>CA_1</t>
        </is>
      </c>
      <c r="D17" s="9" t="inlineStr">
        <is>
          <t>FOODS</t>
        </is>
      </c>
      <c r="E17" s="9" t="inlineStr">
        <is>
          <t>smooth</t>
        </is>
      </c>
      <c r="F17" s="18" t="n">
        <v>21.61131788183022</v>
      </c>
      <c r="G17" s="18" t="n">
        <v>4.717129612973562</v>
      </c>
      <c r="H17" s="12" t="n">
        <v>3</v>
      </c>
      <c r="I17" s="12" t="n">
        <v>0.8</v>
      </c>
      <c r="J17" s="12">
        <f>MAX(H17+Assumptions!$C$7,1)</f>
        <v/>
      </c>
      <c r="K17" s="17">
        <f>I17*Assumptions!$C$8</f>
        <v/>
      </c>
      <c r="L17" s="10">
        <f>Assumptions!$C$6</f>
        <v/>
      </c>
      <c r="M17" s="12">
        <f>J17+L17</f>
        <v/>
      </c>
      <c r="N17" s="17">
        <f>SQRT(M17*G17^2+F17^2*K17^2)</f>
        <v/>
      </c>
      <c r="O17" s="18">
        <f>Assumptions!$C$12</f>
        <v/>
      </c>
      <c r="P17" s="17">
        <f>O17*N17</f>
        <v/>
      </c>
      <c r="Q17" s="17">
        <f>F17*M17+P17</f>
        <v/>
      </c>
      <c r="R17" s="12" t="n"/>
      <c r="S17" s="9" t="b">
        <v>0</v>
      </c>
      <c r="T17" s="17">
        <f>IF(AND(S17,ISNUMBER(R17)),IF(R17&gt;Q17,R17,Q17),Q17)</f>
        <v/>
      </c>
      <c r="U17" s="17">
        <f>T17-F17*M17</f>
        <v/>
      </c>
      <c r="V17" s="17" t="n">
        <v>253.6729536400947</v>
      </c>
      <c r="W17" s="9">
        <f>IF(ABS(T17-V17)&lt;0.01,"OK","CHECK")</f>
        <v/>
      </c>
    </row>
    <row r="18">
      <c r="A18" s="9" t="inlineStr">
        <is>
          <t>SYN_FOODS_3_007_CA_1</t>
        </is>
      </c>
      <c r="B18" s="9" t="inlineStr">
        <is>
          <t>SYN_FOODS_3_007</t>
        </is>
      </c>
      <c r="C18" s="9" t="inlineStr">
        <is>
          <t>CA_1</t>
        </is>
      </c>
      <c r="D18" s="9" t="inlineStr">
        <is>
          <t>FOODS</t>
        </is>
      </c>
      <c r="E18" s="9" t="inlineStr">
        <is>
          <t>smooth</t>
        </is>
      </c>
      <c r="F18" s="18" t="n">
        <v>7.714285714285714</v>
      </c>
      <c r="G18" s="18" t="n">
        <v>3.143729586698849</v>
      </c>
      <c r="H18" s="12" t="n">
        <v>3</v>
      </c>
      <c r="I18" s="12" t="n">
        <v>0.8</v>
      </c>
      <c r="J18" s="12">
        <f>MAX(H18+Assumptions!$C$7,1)</f>
        <v/>
      </c>
      <c r="K18" s="17">
        <f>I18*Assumptions!$C$8</f>
        <v/>
      </c>
      <c r="L18" s="10">
        <f>Assumptions!$C$6</f>
        <v/>
      </c>
      <c r="M18" s="12">
        <f>J18+L18</f>
        <v/>
      </c>
      <c r="N18" s="17">
        <f>SQRT(M18*G18^2+F18^2*K18^2)</f>
        <v/>
      </c>
      <c r="O18" s="18">
        <f>Assumptions!$C$12</f>
        <v/>
      </c>
      <c r="P18" s="17">
        <f>O18*N18</f>
        <v/>
      </c>
      <c r="Q18" s="17">
        <f>F18*M18+P18</f>
        <v/>
      </c>
      <c r="R18" s="12" t="n"/>
      <c r="S18" s="9" t="b">
        <v>0</v>
      </c>
      <c r="T18" s="17">
        <f>IF(AND(S18,ISNUMBER(R18)),IF(R18&gt;Q18,R18,Q18),Q18)</f>
        <v/>
      </c>
      <c r="U18" s="17">
        <f>T18-F18*M18</f>
        <v/>
      </c>
      <c r="V18" s="17" t="n">
        <v>96.38953448213256</v>
      </c>
      <c r="W18" s="9">
        <f>IF(ABS(T18-V18)&lt;0.01,"OK","CHECK")</f>
        <v/>
      </c>
    </row>
    <row r="19">
      <c r="A19" s="9" t="inlineStr">
        <is>
          <t>SYN_FOODS_3_008_CA_1</t>
        </is>
      </c>
      <c r="B19" s="9" t="inlineStr">
        <is>
          <t>SYN_FOODS_3_008</t>
        </is>
      </c>
      <c r="C19" s="9" t="inlineStr">
        <is>
          <t>CA_1</t>
        </is>
      </c>
      <c r="D19" s="9" t="inlineStr">
        <is>
          <t>FOODS</t>
        </is>
      </c>
      <c r="E19" s="9" t="inlineStr">
        <is>
          <t>intermittent</t>
        </is>
      </c>
      <c r="F19" s="18" t="n">
        <v>0.5892857142857142</v>
      </c>
      <c r="G19" s="18" t="n">
        <v>1.030931074534094</v>
      </c>
      <c r="H19" s="12" t="n">
        <v>3</v>
      </c>
      <c r="I19" s="12" t="n">
        <v>0.8</v>
      </c>
      <c r="J19" s="12">
        <f>MAX(H19+Assumptions!$C$7,1)</f>
        <v/>
      </c>
      <c r="K19" s="17">
        <f>I19*Assumptions!$C$8</f>
        <v/>
      </c>
      <c r="L19" s="10">
        <f>Assumptions!$C$6</f>
        <v/>
      </c>
      <c r="M19" s="12">
        <f>J19+L19</f>
        <v/>
      </c>
      <c r="N19" s="17">
        <f>SQRT(M19*G19^2+F19^2*K19^2)</f>
        <v/>
      </c>
      <c r="O19" s="18">
        <f>Assumptions!$C$12</f>
        <v/>
      </c>
      <c r="P19" s="17">
        <f>O19*N19</f>
        <v/>
      </c>
      <c r="Q19" s="17">
        <f>F19*M19+P19</f>
        <v/>
      </c>
      <c r="R19" s="12" t="n">
        <v>13</v>
      </c>
      <c r="S19" s="9" t="b">
        <v>1</v>
      </c>
      <c r="T19" s="17">
        <f>IF(AND(S19,ISNUMBER(R19)),IF(R19&gt;Q19,R19,Q19),Q19)</f>
        <v/>
      </c>
      <c r="U19" s="17">
        <f>T19-F19*M19</f>
        <v/>
      </c>
      <c r="V19" s="17" t="n">
        <v>13</v>
      </c>
      <c r="W19" s="9">
        <f>IF(ABS(T19-V19)&lt;0.01,"OK","CHECK")</f>
        <v/>
      </c>
    </row>
    <row r="20">
      <c r="A20" s="9" t="inlineStr">
        <is>
          <t>SYN_FOODS_3_009_CA_1</t>
        </is>
      </c>
      <c r="B20" s="9" t="inlineStr">
        <is>
          <t>SYN_FOODS_3_009</t>
        </is>
      </c>
      <c r="C20" s="9" t="inlineStr">
        <is>
          <t>CA_1</t>
        </is>
      </c>
      <c r="D20" s="9" t="inlineStr">
        <is>
          <t>FOODS</t>
        </is>
      </c>
      <c r="E20" s="9" t="inlineStr">
        <is>
          <t>smooth</t>
        </is>
      </c>
      <c r="F20" s="18" t="n">
        <v>18.0881233215332</v>
      </c>
      <c r="G20" s="18" t="n">
        <v>4.747732225908924</v>
      </c>
      <c r="H20" s="12" t="n">
        <v>3</v>
      </c>
      <c r="I20" s="12" t="n">
        <v>0.8</v>
      </c>
      <c r="J20" s="12">
        <f>MAX(H20+Assumptions!$C$7,1)</f>
        <v/>
      </c>
      <c r="K20" s="17">
        <f>I20*Assumptions!$C$8</f>
        <v/>
      </c>
      <c r="L20" s="10">
        <f>Assumptions!$C$6</f>
        <v/>
      </c>
      <c r="M20" s="12">
        <f>J20+L20</f>
        <v/>
      </c>
      <c r="N20" s="17">
        <f>SQRT(M20*G20^2+F20^2*K20^2)</f>
        <v/>
      </c>
      <c r="O20" s="18">
        <f>Assumptions!$C$12</f>
        <v/>
      </c>
      <c r="P20" s="17">
        <f>O20*N20</f>
        <v/>
      </c>
      <c r="Q20" s="17">
        <f>F20*M20+P20</f>
        <v/>
      </c>
      <c r="R20" s="12" t="n"/>
      <c r="S20" s="9" t="b">
        <v>0</v>
      </c>
      <c r="T20" s="17">
        <f>IF(AND(S20,ISNUMBER(R20)),IF(R20&gt;Q20,R20,Q20),Q20)</f>
        <v/>
      </c>
      <c r="U20" s="17">
        <f>T20-F20*M20</f>
        <v/>
      </c>
      <c r="V20" s="17" t="n">
        <v>215.1796831540672</v>
      </c>
      <c r="W20" s="9">
        <f>IF(ABS(T20-V20)&lt;0.01,"OK","CHECK")</f>
        <v/>
      </c>
    </row>
    <row r="21">
      <c r="A21" s="9" t="inlineStr">
        <is>
          <t>SYN_HOBBIES_1_001_CA_1</t>
        </is>
      </c>
      <c r="B21" s="9" t="inlineStr">
        <is>
          <t>SYN_HOBBIES_1_001</t>
        </is>
      </c>
      <c r="C21" s="9" t="inlineStr">
        <is>
          <t>CA_1</t>
        </is>
      </c>
      <c r="D21" s="9" t="inlineStr">
        <is>
          <t>HOBBIES</t>
        </is>
      </c>
      <c r="E21" s="9" t="inlineStr">
        <is>
          <t>erratic</t>
        </is>
      </c>
      <c r="F21" s="18" t="n">
        <v>4.788872773898985</v>
      </c>
      <c r="G21" s="18" t="n">
        <v>4.131402732724129</v>
      </c>
      <c r="H21" s="12" t="n">
        <v>14</v>
      </c>
      <c r="I21" s="12" t="n">
        <v>4</v>
      </c>
      <c r="J21" s="12">
        <f>MAX(H21+Assumptions!$C$7,1)</f>
        <v/>
      </c>
      <c r="K21" s="17">
        <f>I21*Assumptions!$C$8</f>
        <v/>
      </c>
      <c r="L21" s="10">
        <f>Assumptions!$C$6</f>
        <v/>
      </c>
      <c r="M21" s="12">
        <f>J21+L21</f>
        <v/>
      </c>
      <c r="N21" s="17">
        <f>SQRT(M21*G21^2+F21^2*K21^2)</f>
        <v/>
      </c>
      <c r="O21" s="18">
        <f>Assumptions!$C$12</f>
        <v/>
      </c>
      <c r="P21" s="17">
        <f>O21*N21</f>
        <v/>
      </c>
      <c r="Q21" s="17">
        <f>F21*M21+P21</f>
        <v/>
      </c>
      <c r="R21" s="12" t="n"/>
      <c r="S21" s="9" t="b">
        <v>0</v>
      </c>
      <c r="T21" s="17">
        <f>IF(AND(S21,ISNUMBER(R21)),IF(R21&gt;Q21,R21,Q21),Q21)</f>
        <v/>
      </c>
      <c r="U21" s="17">
        <f>T21-F21*M21</f>
        <v/>
      </c>
      <c r="V21" s="17" t="n">
        <v>144.866700968943</v>
      </c>
      <c r="W21" s="9">
        <f>IF(ABS(T21-V21)&lt;0.01,"OK","CHECK")</f>
        <v/>
      </c>
    </row>
    <row r="22">
      <c r="A22" s="9" t="inlineStr">
        <is>
          <t>SYN_HOBBIES_1_003_CA_1</t>
        </is>
      </c>
      <c r="B22" s="9" t="inlineStr">
        <is>
          <t>SYN_HOBBIES_1_003</t>
        </is>
      </c>
      <c r="C22" s="9" t="inlineStr">
        <is>
          <t>CA_1</t>
        </is>
      </c>
      <c r="D22" s="9" t="inlineStr">
        <is>
          <t>HOBBIES</t>
        </is>
      </c>
      <c r="E22" s="9" t="inlineStr">
        <is>
          <t>lumpy</t>
        </is>
      </c>
      <c r="F22" s="18" t="n">
        <v>0.8571428571428571</v>
      </c>
      <c r="G22" s="18" t="n">
        <v>2.414243448488869</v>
      </c>
      <c r="H22" s="12" t="n">
        <v>14</v>
      </c>
      <c r="I22" s="12" t="n">
        <v>4</v>
      </c>
      <c r="J22" s="12">
        <f>MAX(H22+Assumptions!$C$7,1)</f>
        <v/>
      </c>
      <c r="K22" s="17">
        <f>I22*Assumptions!$C$8</f>
        <v/>
      </c>
      <c r="L22" s="10">
        <f>Assumptions!$C$6</f>
        <v/>
      </c>
      <c r="M22" s="12">
        <f>J22+L22</f>
        <v/>
      </c>
      <c r="N22" s="17">
        <f>SQRT(M22*G22^2+F22^2*K22^2)</f>
        <v/>
      </c>
      <c r="O22" s="18">
        <f>Assumptions!$C$12</f>
        <v/>
      </c>
      <c r="P22" s="17">
        <f>O22*N22</f>
        <v/>
      </c>
      <c r="Q22" s="17">
        <f>F22*M22+P22</f>
        <v/>
      </c>
      <c r="R22" s="12" t="n">
        <v>30</v>
      </c>
      <c r="S22" s="9" t="b">
        <v>1</v>
      </c>
      <c r="T22" s="17">
        <f>IF(AND(S22,ISNUMBER(R22)),IF(R22&gt;Q22,R22,Q22),Q22)</f>
        <v/>
      </c>
      <c r="U22" s="17">
        <f>T22-F22*M22</f>
        <v/>
      </c>
      <c r="V22" s="17" t="n">
        <v>37.05157361893744</v>
      </c>
      <c r="W22" s="9">
        <f>IF(ABS(T22-V22)&lt;0.01,"OK","CHECK")</f>
        <v/>
      </c>
    </row>
    <row r="23">
      <c r="A23" s="9" t="inlineStr">
        <is>
          <t>SYN_HOBBIES_1_004_CA_1</t>
        </is>
      </c>
      <c r="B23" s="9" t="inlineStr">
        <is>
          <t>SYN_HOBBIES_1_004</t>
        </is>
      </c>
      <c r="C23" s="9" t="inlineStr">
        <is>
          <t>CA_1</t>
        </is>
      </c>
      <c r="D23" s="9" t="inlineStr">
        <is>
          <t>HOBBIES</t>
        </is>
      </c>
      <c r="E23" s="9" t="inlineStr">
        <is>
          <t>intermittent</t>
        </is>
      </c>
      <c r="F23" s="18" t="n">
        <v>0.5178571428571429</v>
      </c>
      <c r="G23" s="18" t="n">
        <v>0.871165065546462</v>
      </c>
      <c r="H23" s="12" t="n">
        <v>14</v>
      </c>
      <c r="I23" s="12" t="n">
        <v>4</v>
      </c>
      <c r="J23" s="12">
        <f>MAX(H23+Assumptions!$C$7,1)</f>
        <v/>
      </c>
      <c r="K23" s="17">
        <f>I23*Assumptions!$C$8</f>
        <v/>
      </c>
      <c r="L23" s="10">
        <f>Assumptions!$C$6</f>
        <v/>
      </c>
      <c r="M23" s="12">
        <f>J23+L23</f>
        <v/>
      </c>
      <c r="N23" s="17">
        <f>SQRT(M23*G23^2+F23^2*K23^2)</f>
        <v/>
      </c>
      <c r="O23" s="18">
        <f>Assumptions!$C$12</f>
        <v/>
      </c>
      <c r="P23" s="17">
        <f>O23*N23</f>
        <v/>
      </c>
      <c r="Q23" s="17">
        <f>F23*M23+P23</f>
        <v/>
      </c>
      <c r="R23" s="12" t="n">
        <v>17</v>
      </c>
      <c r="S23" s="9" t="b">
        <v>1</v>
      </c>
      <c r="T23" s="17">
        <f>IF(AND(S23,ISNUMBER(R23)),IF(R23&gt;Q23,R23,Q23),Q23)</f>
        <v/>
      </c>
      <c r="U23" s="17">
        <f>T23-F23*M23</f>
        <v/>
      </c>
      <c r="V23" s="17" t="n">
        <v>18.27287731066501</v>
      </c>
      <c r="W23" s="9">
        <f>IF(ABS(T23-V23)&lt;0.01,"OK","CHECK")</f>
        <v/>
      </c>
    </row>
    <row r="24">
      <c r="A24" s="9" t="inlineStr">
        <is>
          <t>SYN_HOBBIES_1_005_CA_1</t>
        </is>
      </c>
      <c r="B24" s="9" t="inlineStr">
        <is>
          <t>SYN_HOBBIES_1_005</t>
        </is>
      </c>
      <c r="C24" s="9" t="inlineStr">
        <is>
          <t>CA_1</t>
        </is>
      </c>
      <c r="D24" s="9" t="inlineStr">
        <is>
          <t>HOBBIES</t>
        </is>
      </c>
      <c r="E24" s="9" t="inlineStr">
        <is>
          <t>intermittent</t>
        </is>
      </c>
      <c r="F24" s="18" t="n">
        <v>0.1428571428571428</v>
      </c>
      <c r="G24" s="18" t="n">
        <v>1.010657494618514</v>
      </c>
      <c r="H24" s="12" t="n">
        <v>14</v>
      </c>
      <c r="I24" s="12" t="n">
        <v>4</v>
      </c>
      <c r="J24" s="12">
        <f>MAX(H24+Assumptions!$C$7,1)</f>
        <v/>
      </c>
      <c r="K24" s="17">
        <f>I24*Assumptions!$C$8</f>
        <v/>
      </c>
      <c r="L24" s="10">
        <f>Assumptions!$C$6</f>
        <v/>
      </c>
      <c r="M24" s="12">
        <f>J24+L24</f>
        <v/>
      </c>
      <c r="N24" s="17">
        <f>SQRT(M24*G24^2+F24^2*K24^2)</f>
        <v/>
      </c>
      <c r="O24" s="18">
        <f>Assumptions!$C$12</f>
        <v/>
      </c>
      <c r="P24" s="17">
        <f>O24*N24</f>
        <v/>
      </c>
      <c r="Q24" s="17">
        <f>F24*M24+P24</f>
        <v/>
      </c>
      <c r="R24" s="12" t="n">
        <v>15</v>
      </c>
      <c r="S24" s="9" t="b">
        <v>1</v>
      </c>
      <c r="T24" s="17">
        <f>IF(AND(S24,ISNUMBER(R24)),IF(R24&gt;Q24,R24,Q24),Q24)</f>
        <v/>
      </c>
      <c r="U24" s="17">
        <f>T24-F24*M24</f>
        <v/>
      </c>
      <c r="V24" s="17" t="n">
        <v>15</v>
      </c>
      <c r="W24" s="9">
        <f>IF(ABS(T24-V24)&lt;0.01,"OK","CHECK")</f>
        <v/>
      </c>
    </row>
    <row r="25">
      <c r="A25" s="9" t="inlineStr">
        <is>
          <t>SYN_HOBBIES_1_006_CA_1</t>
        </is>
      </c>
      <c r="B25" s="9" t="inlineStr">
        <is>
          <t>SYN_HOBBIES_1_006</t>
        </is>
      </c>
      <c r="C25" s="9" t="inlineStr">
        <is>
          <t>CA_1</t>
        </is>
      </c>
      <c r="D25" s="9" t="inlineStr">
        <is>
          <t>HOBBIES</t>
        </is>
      </c>
      <c r="E25" s="9" t="inlineStr">
        <is>
          <t>lumpy</t>
        </is>
      </c>
      <c r="F25" s="18" t="n">
        <v>0.7142857142857143</v>
      </c>
      <c r="G25" s="18" t="n">
        <v>2.84228278476499</v>
      </c>
      <c r="H25" s="12" t="n">
        <v>14</v>
      </c>
      <c r="I25" s="12" t="n">
        <v>4</v>
      </c>
      <c r="J25" s="12">
        <f>MAX(H25+Assumptions!$C$7,1)</f>
        <v/>
      </c>
      <c r="K25" s="17">
        <f>I25*Assumptions!$C$8</f>
        <v/>
      </c>
      <c r="L25" s="10">
        <f>Assumptions!$C$6</f>
        <v/>
      </c>
      <c r="M25" s="12">
        <f>J25+L25</f>
        <v/>
      </c>
      <c r="N25" s="17">
        <f>SQRT(M25*G25^2+F25^2*K25^2)</f>
        <v/>
      </c>
      <c r="O25" s="18">
        <f>Assumptions!$C$12</f>
        <v/>
      </c>
      <c r="P25" s="17">
        <f>O25*N25</f>
        <v/>
      </c>
      <c r="Q25" s="17">
        <f>F25*M25+P25</f>
        <v/>
      </c>
      <c r="R25" s="12" t="n">
        <v>49</v>
      </c>
      <c r="S25" s="9" t="b">
        <v>1</v>
      </c>
      <c r="T25" s="17">
        <f>IF(AND(S25,ISNUMBER(R25)),IF(R25&gt;Q25,R25,Q25),Q25)</f>
        <v/>
      </c>
      <c r="U25" s="17">
        <f>T25-F25*M25</f>
        <v/>
      </c>
      <c r="V25" s="17" t="n">
        <v>49</v>
      </c>
      <c r="W25" s="9">
        <f>IF(ABS(T25-V25)&lt;0.01,"OK","CHECK")</f>
        <v/>
      </c>
    </row>
    <row r="26">
      <c r="A26" s="9" t="inlineStr">
        <is>
          <t>SYN_HOBBIES_1_007_CA_1</t>
        </is>
      </c>
      <c r="B26" s="9" t="inlineStr">
        <is>
          <t>SYN_HOBBIES_1_007</t>
        </is>
      </c>
      <c r="C26" s="9" t="inlineStr">
        <is>
          <t>CA_1</t>
        </is>
      </c>
      <c r="D26" s="9" t="inlineStr">
        <is>
          <t>HOBBIES</t>
        </is>
      </c>
      <c r="E26" s="9" t="inlineStr">
        <is>
          <t>lumpy</t>
        </is>
      </c>
      <c r="F26" s="18" t="n">
        <v>0.9467179775238036</v>
      </c>
      <c r="G26" s="18" t="n">
        <v>1.313044515780908</v>
      </c>
      <c r="H26" s="12" t="n">
        <v>14</v>
      </c>
      <c r="I26" s="12" t="n">
        <v>4</v>
      </c>
      <c r="J26" s="12">
        <f>MAX(H26+Assumptions!$C$7,1)</f>
        <v/>
      </c>
      <c r="K26" s="17">
        <f>I26*Assumptions!$C$8</f>
        <v/>
      </c>
      <c r="L26" s="10">
        <f>Assumptions!$C$6</f>
        <v/>
      </c>
      <c r="M26" s="12">
        <f>J26+L26</f>
        <v/>
      </c>
      <c r="N26" s="17">
        <f>SQRT(M26*G26^2+F26^2*K26^2)</f>
        <v/>
      </c>
      <c r="O26" s="18">
        <f>Assumptions!$C$12</f>
        <v/>
      </c>
      <c r="P26" s="17">
        <f>O26*N26</f>
        <v/>
      </c>
      <c r="Q26" s="17">
        <f>F26*M26+P26</f>
        <v/>
      </c>
      <c r="R26" s="12" t="n">
        <v>30</v>
      </c>
      <c r="S26" s="9" t="b">
        <v>1</v>
      </c>
      <c r="T26" s="17">
        <f>IF(AND(S26,ISNUMBER(R26)),IF(R26&gt;Q26,R26,Q26),Q26)</f>
        <v/>
      </c>
      <c r="U26" s="17">
        <f>T26-F26*M26</f>
        <v/>
      </c>
      <c r="V26" s="17" t="n">
        <v>31.57530463960551</v>
      </c>
      <c r="W26" s="9">
        <f>IF(ABS(T26-V26)&lt;0.01,"OK","CHECK")</f>
        <v/>
      </c>
    </row>
    <row r="27">
      <c r="A27" s="9" t="inlineStr">
        <is>
          <t>SYN_HOBBIES_1_009_CA_1</t>
        </is>
      </c>
      <c r="B27" s="9" t="inlineStr">
        <is>
          <t>SYN_HOBBIES_1_009</t>
        </is>
      </c>
      <c r="C27" s="9" t="inlineStr">
        <is>
          <t>CA_1</t>
        </is>
      </c>
      <c r="D27" s="9" t="inlineStr">
        <is>
          <t>HOBBIES</t>
        </is>
      </c>
      <c r="E27" s="9" t="inlineStr">
        <is>
          <t>smooth</t>
        </is>
      </c>
      <c r="F27" s="18" t="n">
        <v>11.91146755218506</v>
      </c>
      <c r="G27" s="18" t="n">
        <v>3.637241561018136</v>
      </c>
      <c r="H27" s="12" t="n">
        <v>14</v>
      </c>
      <c r="I27" s="12" t="n">
        <v>4</v>
      </c>
      <c r="J27" s="12">
        <f>MAX(H27+Assumptions!$C$7,1)</f>
        <v/>
      </c>
      <c r="K27" s="17">
        <f>I27*Assumptions!$C$8</f>
        <v/>
      </c>
      <c r="L27" s="10">
        <f>Assumptions!$C$6</f>
        <v/>
      </c>
      <c r="M27" s="12">
        <f>J27+L27</f>
        <v/>
      </c>
      <c r="N27" s="17">
        <f>SQRT(M27*G27^2+F27^2*K27^2)</f>
        <v/>
      </c>
      <c r="O27" s="18">
        <f>Assumptions!$C$12</f>
        <v/>
      </c>
      <c r="P27" s="17">
        <f>O27*N27</f>
        <v/>
      </c>
      <c r="Q27" s="17">
        <f>F27*M27+P27</f>
        <v/>
      </c>
      <c r="R27" s="12" t="n"/>
      <c r="S27" s="9" t="b">
        <v>0</v>
      </c>
      <c r="T27" s="17">
        <f>IF(AND(S27,ISNUMBER(R27)),IF(R27&gt;Q27,R27,Q27),Q27)</f>
        <v/>
      </c>
      <c r="U27" s="17">
        <f>T27-F27*M27</f>
        <v/>
      </c>
      <c r="V27" s="17" t="n">
        <v>333.1684448208314</v>
      </c>
      <c r="W27" s="9">
        <f>IF(ABS(T27-V27)&lt;0.01,"OK","CHECK")</f>
        <v/>
      </c>
    </row>
    <row r="28">
      <c r="A28" s="9" t="inlineStr">
        <is>
          <t>SYN_HOBBIES_2_001_CA_1</t>
        </is>
      </c>
      <c r="B28" s="9" t="inlineStr">
        <is>
          <t>SYN_HOBBIES_2_001</t>
        </is>
      </c>
      <c r="C28" s="9" t="inlineStr">
        <is>
          <t>CA_1</t>
        </is>
      </c>
      <c r="D28" s="9" t="inlineStr">
        <is>
          <t>HOBBIES</t>
        </is>
      </c>
      <c r="E28" s="9" t="inlineStr">
        <is>
          <t>erratic</t>
        </is>
      </c>
      <c r="F28" s="18" t="n">
        <v>2.943248510360718</v>
      </c>
      <c r="G28" s="18" t="n">
        <v>3.702258363862236</v>
      </c>
      <c r="H28" s="12" t="n">
        <v>14</v>
      </c>
      <c r="I28" s="12" t="n">
        <v>4</v>
      </c>
      <c r="J28" s="12">
        <f>MAX(H28+Assumptions!$C$7,1)</f>
        <v/>
      </c>
      <c r="K28" s="17">
        <f>I28*Assumptions!$C$8</f>
        <v/>
      </c>
      <c r="L28" s="10">
        <f>Assumptions!$C$6</f>
        <v/>
      </c>
      <c r="M28" s="12">
        <f>J28+L28</f>
        <v/>
      </c>
      <c r="N28" s="17">
        <f>SQRT(M28*G28^2+F28^2*K28^2)</f>
        <v/>
      </c>
      <c r="O28" s="18">
        <f>Assumptions!$C$12</f>
        <v/>
      </c>
      <c r="P28" s="17">
        <f>O28*N28</f>
        <v/>
      </c>
      <c r="Q28" s="17">
        <f>F28*M28+P28</f>
        <v/>
      </c>
      <c r="R28" s="12" t="n"/>
      <c r="S28" s="9" t="b">
        <v>0</v>
      </c>
      <c r="T28" s="17">
        <f>IF(AND(S28,ISNUMBER(R28)),IF(R28&gt;Q28,R28,Q28),Q28)</f>
        <v/>
      </c>
      <c r="U28" s="17">
        <f>T28-F28*M28</f>
        <v/>
      </c>
      <c r="V28" s="17" t="n">
        <v>95.77532008991319</v>
      </c>
      <c r="W28" s="9">
        <f>IF(ABS(T28-V28)&lt;0.01,"OK","CHECK")</f>
        <v/>
      </c>
    </row>
    <row r="29">
      <c r="A29" s="9" t="inlineStr">
        <is>
          <t>SYN_HOBBIES_2_002_CA_1</t>
        </is>
      </c>
      <c r="B29" s="9" t="inlineStr">
        <is>
          <t>SYN_HOBBIES_2_002</t>
        </is>
      </c>
      <c r="C29" s="9" t="inlineStr">
        <is>
          <t>CA_1</t>
        </is>
      </c>
      <c r="D29" s="9" t="inlineStr">
        <is>
          <t>HOBBIES</t>
        </is>
      </c>
      <c r="E29" s="9" t="inlineStr">
        <is>
          <t>intermittent</t>
        </is>
      </c>
      <c r="F29" s="18" t="n">
        <v>0.5535714285714286</v>
      </c>
      <c r="G29" s="18" t="n">
        <v>1.019453635181961</v>
      </c>
      <c r="H29" s="12" t="n">
        <v>14</v>
      </c>
      <c r="I29" s="12" t="n">
        <v>4</v>
      </c>
      <c r="J29" s="12">
        <f>MAX(H29+Assumptions!$C$7,1)</f>
        <v/>
      </c>
      <c r="K29" s="17">
        <f>I29*Assumptions!$C$8</f>
        <v/>
      </c>
      <c r="L29" s="10">
        <f>Assumptions!$C$6</f>
        <v/>
      </c>
      <c r="M29" s="12">
        <f>J29+L29</f>
        <v/>
      </c>
      <c r="N29" s="17">
        <f>SQRT(M29*G29^2+F29^2*K29^2)</f>
        <v/>
      </c>
      <c r="O29" s="18">
        <f>Assumptions!$C$12</f>
        <v/>
      </c>
      <c r="P29" s="17">
        <f>O29*N29</f>
        <v/>
      </c>
      <c r="Q29" s="17">
        <f>F29*M29+P29</f>
        <v/>
      </c>
      <c r="R29" s="12" t="n">
        <v>18</v>
      </c>
      <c r="S29" s="9" t="b">
        <v>1</v>
      </c>
      <c r="T29" s="17">
        <f>IF(AND(S29,ISNUMBER(R29)),IF(R29&gt;Q29,R29,Q29),Q29)</f>
        <v/>
      </c>
      <c r="U29" s="17">
        <f>T29-F29*M29</f>
        <v/>
      </c>
      <c r="V29" s="17" t="n">
        <v>20.12875981120984</v>
      </c>
      <c r="W29" s="9">
        <f>IF(ABS(T29-V29)&lt;0.01,"OK","CHECK")</f>
        <v/>
      </c>
    </row>
    <row r="30">
      <c r="A30" s="9" t="inlineStr">
        <is>
          <t>SYN_HOBBIES_2_004_CA_1</t>
        </is>
      </c>
      <c r="B30" s="9" t="inlineStr">
        <is>
          <t>SYN_HOBBIES_2_004</t>
        </is>
      </c>
      <c r="C30" s="9" t="inlineStr">
        <is>
          <t>CA_1</t>
        </is>
      </c>
      <c r="D30" s="9" t="inlineStr">
        <is>
          <t>HOBBIES</t>
        </is>
      </c>
      <c r="E30" s="9" t="inlineStr">
        <is>
          <t>smooth</t>
        </is>
      </c>
      <c r="F30" s="18" t="n">
        <v>32.11165911809682</v>
      </c>
      <c r="G30" s="18" t="n">
        <v>7.849238451702051</v>
      </c>
      <c r="H30" s="12" t="n">
        <v>14</v>
      </c>
      <c r="I30" s="12" t="n">
        <v>4</v>
      </c>
      <c r="J30" s="12">
        <f>MAX(H30+Assumptions!$C$7,1)</f>
        <v/>
      </c>
      <c r="K30" s="17">
        <f>I30*Assumptions!$C$8</f>
        <v/>
      </c>
      <c r="L30" s="10">
        <f>Assumptions!$C$6</f>
        <v/>
      </c>
      <c r="M30" s="12">
        <f>J30+L30</f>
        <v/>
      </c>
      <c r="N30" s="17">
        <f>SQRT(M30*G30^2+F30^2*K30^2)</f>
        <v/>
      </c>
      <c r="O30" s="18">
        <f>Assumptions!$C$12</f>
        <v/>
      </c>
      <c r="P30" s="17">
        <f>O30*N30</f>
        <v/>
      </c>
      <c r="Q30" s="17">
        <f>F30*M30+P30</f>
        <v/>
      </c>
      <c r="R30" s="12" t="n"/>
      <c r="S30" s="9" t="b">
        <v>0</v>
      </c>
      <c r="T30" s="17">
        <f>IF(AND(S30,ISNUMBER(R30)),IF(R30&gt;Q30,R30,Q30),Q30)</f>
        <v/>
      </c>
      <c r="U30" s="17">
        <f>T30-F30*M30</f>
        <v/>
      </c>
      <c r="V30" s="17" t="n">
        <v>893.7485848865136</v>
      </c>
      <c r="W30" s="9">
        <f>IF(ABS(T30-V30)&lt;0.01,"OK","CHECK")</f>
        <v/>
      </c>
    </row>
    <row r="31">
      <c r="A31" s="9" t="inlineStr">
        <is>
          <t>SYN_HOBBIES_2_005_CA_1</t>
        </is>
      </c>
      <c r="B31" s="9" t="inlineStr">
        <is>
          <t>SYN_HOBBIES_2_005</t>
        </is>
      </c>
      <c r="C31" s="9" t="inlineStr">
        <is>
          <t>CA_1</t>
        </is>
      </c>
      <c r="D31" s="9" t="inlineStr">
        <is>
          <t>HOBBIES</t>
        </is>
      </c>
      <c r="E31" s="9" t="inlineStr">
        <is>
          <t>smooth</t>
        </is>
      </c>
      <c r="F31" s="18" t="n">
        <v>25.79610517635236</v>
      </c>
      <c r="G31" s="18" t="n">
        <v>6.500804568474529</v>
      </c>
      <c r="H31" s="12" t="n">
        <v>14</v>
      </c>
      <c r="I31" s="12" t="n">
        <v>4</v>
      </c>
      <c r="J31" s="12">
        <f>MAX(H31+Assumptions!$C$7,1)</f>
        <v/>
      </c>
      <c r="K31" s="17">
        <f>I31*Assumptions!$C$8</f>
        <v/>
      </c>
      <c r="L31" s="10">
        <f>Assumptions!$C$6</f>
        <v/>
      </c>
      <c r="M31" s="12">
        <f>J31+L31</f>
        <v/>
      </c>
      <c r="N31" s="17">
        <f>SQRT(M31*G31^2+F31^2*K31^2)</f>
        <v/>
      </c>
      <c r="O31" s="18">
        <f>Assumptions!$C$12</f>
        <v/>
      </c>
      <c r="P31" s="17">
        <f>O31*N31</f>
        <v/>
      </c>
      <c r="Q31" s="17">
        <f>F31*M31+P31</f>
        <v/>
      </c>
      <c r="R31" s="12" t="n"/>
      <c r="S31" s="9" t="b">
        <v>0</v>
      </c>
      <c r="T31" s="17">
        <f>IF(AND(S31,ISNUMBER(R31)),IF(R31&gt;Q31,R31,Q31),Q31)</f>
        <v/>
      </c>
      <c r="U31" s="17">
        <f>T31-F31*M31</f>
        <v/>
      </c>
      <c r="V31" s="17" t="n">
        <v>718.3734536893937</v>
      </c>
      <c r="W31" s="9">
        <f>IF(ABS(T31-V31)&lt;0.01,"OK","CHECK")</f>
        <v/>
      </c>
    </row>
    <row r="32">
      <c r="A32" s="9" t="inlineStr">
        <is>
          <t>SYN_HOBBIES_2_006_CA_1</t>
        </is>
      </c>
      <c r="B32" s="9" t="inlineStr">
        <is>
          <t>SYN_HOBBIES_2_006</t>
        </is>
      </c>
      <c r="C32" s="9" t="inlineStr">
        <is>
          <t>CA_1</t>
        </is>
      </c>
      <c r="D32" s="9" t="inlineStr">
        <is>
          <t>HOBBIES</t>
        </is>
      </c>
      <c r="E32" s="9" t="inlineStr">
        <is>
          <t>smooth</t>
        </is>
      </c>
      <c r="F32" s="18" t="n">
        <v>29.10667708812781</v>
      </c>
      <c r="G32" s="18" t="n">
        <v>6.68566024672579</v>
      </c>
      <c r="H32" s="12" t="n">
        <v>14</v>
      </c>
      <c r="I32" s="12" t="n">
        <v>4</v>
      </c>
      <c r="J32" s="12">
        <f>MAX(H32+Assumptions!$C$7,1)</f>
        <v/>
      </c>
      <c r="K32" s="17">
        <f>I32*Assumptions!$C$8</f>
        <v/>
      </c>
      <c r="L32" s="10">
        <f>Assumptions!$C$6</f>
        <v/>
      </c>
      <c r="M32" s="12">
        <f>J32+L32</f>
        <v/>
      </c>
      <c r="N32" s="17">
        <f>SQRT(M32*G32^2+F32^2*K32^2)</f>
        <v/>
      </c>
      <c r="O32" s="18">
        <f>Assumptions!$C$12</f>
        <v/>
      </c>
      <c r="P32" s="17">
        <f>O32*N32</f>
        <v/>
      </c>
      <c r="Q32" s="17">
        <f>F32*M32+P32</f>
        <v/>
      </c>
      <c r="R32" s="12" t="n"/>
      <c r="S32" s="9" t="b">
        <v>0</v>
      </c>
      <c r="T32" s="17">
        <f>IF(AND(S32,ISNUMBER(R32)),IF(R32&gt;Q32,R32,Q32),Q32)</f>
        <v/>
      </c>
      <c r="U32" s="17">
        <f>T32-F32*M32</f>
        <v/>
      </c>
      <c r="V32" s="17" t="n">
        <v>809.2647303784113</v>
      </c>
      <c r="W32" s="9">
        <f>IF(ABS(T32-V32)&lt;0.01,"OK","CHECK")</f>
        <v/>
      </c>
    </row>
    <row r="33">
      <c r="A33" s="9" t="inlineStr">
        <is>
          <t>SYN_HOBBIES_2_007_CA_1</t>
        </is>
      </c>
      <c r="B33" s="9" t="inlineStr">
        <is>
          <t>SYN_HOBBIES_2_007</t>
        </is>
      </c>
      <c r="C33" s="9" t="inlineStr">
        <is>
          <t>CA_1</t>
        </is>
      </c>
      <c r="D33" s="9" t="inlineStr">
        <is>
          <t>HOBBIES</t>
        </is>
      </c>
      <c r="E33" s="9" t="inlineStr">
        <is>
          <t>smooth</t>
        </is>
      </c>
      <c r="F33" s="18" t="n">
        <v>1.413094972338358</v>
      </c>
      <c r="G33" s="18" t="n">
        <v>1.002214867480008</v>
      </c>
      <c r="H33" s="12" t="n">
        <v>14</v>
      </c>
      <c r="I33" s="12" t="n">
        <v>4</v>
      </c>
      <c r="J33" s="12">
        <f>MAX(H33+Assumptions!$C$7,1)</f>
        <v/>
      </c>
      <c r="K33" s="17">
        <f>I33*Assumptions!$C$8</f>
        <v/>
      </c>
      <c r="L33" s="10">
        <f>Assumptions!$C$6</f>
        <v/>
      </c>
      <c r="M33" s="12">
        <f>J33+L33</f>
        <v/>
      </c>
      <c r="N33" s="17">
        <f>SQRT(M33*G33^2+F33^2*K33^2)</f>
        <v/>
      </c>
      <c r="O33" s="18">
        <f>Assumptions!$C$12</f>
        <v/>
      </c>
      <c r="P33" s="17">
        <f>O33*N33</f>
        <v/>
      </c>
      <c r="Q33" s="17">
        <f>F33*M33+P33</f>
        <v/>
      </c>
      <c r="R33" s="12" t="n"/>
      <c r="S33" s="9" t="b">
        <v>0</v>
      </c>
      <c r="T33" s="17">
        <f>IF(AND(S33,ISNUMBER(R33)),IF(R33&gt;Q33,R33,Q33),Q33)</f>
        <v/>
      </c>
      <c r="U33" s="17">
        <f>T33-F33*M33</f>
        <v/>
      </c>
      <c r="V33" s="17" t="n">
        <v>41.65451270360212</v>
      </c>
      <c r="W33" s="9">
        <f>IF(ABS(T33-V33)&lt;0.01,"OK","CHECK")</f>
        <v/>
      </c>
    </row>
    <row r="34">
      <c r="A34" s="9" t="inlineStr">
        <is>
          <t>SYN_HOBBIES_2_009_CA_1</t>
        </is>
      </c>
      <c r="B34" s="9" t="inlineStr">
        <is>
          <t>SYN_HOBBIES_2_009</t>
        </is>
      </c>
      <c r="C34" s="9" t="inlineStr">
        <is>
          <t>CA_1</t>
        </is>
      </c>
      <c r="D34" s="9" t="inlineStr">
        <is>
          <t>HOBBIES</t>
        </is>
      </c>
      <c r="E34" s="9" t="inlineStr">
        <is>
          <t>smooth</t>
        </is>
      </c>
      <c r="F34" s="18" t="n">
        <v>5.410714285714285</v>
      </c>
      <c r="G34" s="18" t="n">
        <v>2.028857499763249</v>
      </c>
      <c r="H34" s="12" t="n">
        <v>14</v>
      </c>
      <c r="I34" s="12" t="n">
        <v>4</v>
      </c>
      <c r="J34" s="12">
        <f>MAX(H34+Assumptions!$C$7,1)</f>
        <v/>
      </c>
      <c r="K34" s="17">
        <f>I34*Assumptions!$C$8</f>
        <v/>
      </c>
      <c r="L34" s="10">
        <f>Assumptions!$C$6</f>
        <v/>
      </c>
      <c r="M34" s="12">
        <f>J34+L34</f>
        <v/>
      </c>
      <c r="N34" s="17">
        <f>SQRT(M34*G34^2+F34^2*K34^2)</f>
        <v/>
      </c>
      <c r="O34" s="18">
        <f>Assumptions!$C$12</f>
        <v/>
      </c>
      <c r="P34" s="17">
        <f>O34*N34</f>
        <v/>
      </c>
      <c r="Q34" s="17">
        <f>F34*M34+P34</f>
        <v/>
      </c>
      <c r="R34" s="12" t="n"/>
      <c r="S34" s="9" t="b">
        <v>0</v>
      </c>
      <c r="T34" s="17">
        <f>IF(AND(S34,ISNUMBER(R34)),IF(R34&gt;Q34,R34,Q34),Q34)</f>
        <v/>
      </c>
      <c r="U34" s="17">
        <f>T34-F34*M34</f>
        <v/>
      </c>
      <c r="V34" s="17" t="n">
        <v>152.3701122491589</v>
      </c>
      <c r="W34" s="9">
        <f>IF(ABS(T34-V34)&lt;0.01,"OK","CHECK")</f>
        <v/>
      </c>
    </row>
    <row r="35">
      <c r="A35" s="9" t="inlineStr">
        <is>
          <t>SYN_HOUSEHOLD_1_001_CA_1</t>
        </is>
      </c>
      <c r="B35" s="9" t="inlineStr">
        <is>
          <t>SYN_HOUSEHOLD_1_001</t>
        </is>
      </c>
      <c r="C35" s="9" t="inlineStr">
        <is>
          <t>CA_1</t>
        </is>
      </c>
      <c r="D35" s="9" t="inlineStr">
        <is>
          <t>HOUSEHOLD</t>
        </is>
      </c>
      <c r="E35" s="9" t="inlineStr">
        <is>
          <t>intermittent</t>
        </is>
      </c>
      <c r="F35" s="18" t="n">
        <v>0.3745124340057373</v>
      </c>
      <c r="G35" s="18" t="n">
        <v>0.99713951351485</v>
      </c>
      <c r="H35" s="12" t="n">
        <v>7</v>
      </c>
      <c r="I35" s="12" t="n">
        <v>2</v>
      </c>
      <c r="J35" s="12">
        <f>MAX(H35+Assumptions!$C$7,1)</f>
        <v/>
      </c>
      <c r="K35" s="17">
        <f>I35*Assumptions!$C$8</f>
        <v/>
      </c>
      <c r="L35" s="10">
        <f>Assumptions!$C$6</f>
        <v/>
      </c>
      <c r="M35" s="12">
        <f>J35+L35</f>
        <v/>
      </c>
      <c r="N35" s="17">
        <f>SQRT(M35*G35^2+F35^2*K35^2)</f>
        <v/>
      </c>
      <c r="O35" s="18">
        <f>Assumptions!$C$12</f>
        <v/>
      </c>
      <c r="P35" s="17">
        <f>O35*N35</f>
        <v/>
      </c>
      <c r="Q35" s="17">
        <f>F35*M35+P35</f>
        <v/>
      </c>
      <c r="R35" s="12" t="n">
        <v>11</v>
      </c>
      <c r="S35" s="9" t="b">
        <v>1</v>
      </c>
      <c r="T35" s="17">
        <f>IF(AND(S35,ISNUMBER(R35)),IF(R35&gt;Q35,R35,Q35),Q35)</f>
        <v/>
      </c>
      <c r="U35" s="17">
        <f>T35-F35*M35</f>
        <v/>
      </c>
      <c r="V35" s="17" t="n">
        <v>11.50249790528694</v>
      </c>
      <c r="W35" s="9">
        <f>IF(ABS(T35-V35)&lt;0.01,"OK","CHECK")</f>
        <v/>
      </c>
    </row>
    <row r="36">
      <c r="A36" s="9" t="inlineStr">
        <is>
          <t>SYN_HOUSEHOLD_1_007_CA_1</t>
        </is>
      </c>
      <c r="B36" s="9" t="inlineStr">
        <is>
          <t>SYN_HOUSEHOLD_1_007</t>
        </is>
      </c>
      <c r="C36" s="9" t="inlineStr">
        <is>
          <t>CA_1</t>
        </is>
      </c>
      <c r="D36" s="9" t="inlineStr">
        <is>
          <t>HOUSEHOLD</t>
        </is>
      </c>
      <c r="E36" s="9" t="inlineStr">
        <is>
          <t>erratic</t>
        </is>
      </c>
      <c r="F36" s="18" t="n">
        <v>11.16962718963623</v>
      </c>
      <c r="G36" s="18" t="n">
        <v>7.248552539035171</v>
      </c>
      <c r="H36" s="12" t="n">
        <v>7</v>
      </c>
      <c r="I36" s="12" t="n">
        <v>2</v>
      </c>
      <c r="J36" s="12">
        <f>MAX(H36+Assumptions!$C$7,1)</f>
        <v/>
      </c>
      <c r="K36" s="17">
        <f>I36*Assumptions!$C$8</f>
        <v/>
      </c>
      <c r="L36" s="10">
        <f>Assumptions!$C$6</f>
        <v/>
      </c>
      <c r="M36" s="12">
        <f>J36+L36</f>
        <v/>
      </c>
      <c r="N36" s="17">
        <f>SQRT(M36*G36^2+F36^2*K36^2)</f>
        <v/>
      </c>
      <c r="O36" s="18">
        <f>Assumptions!$C$12</f>
        <v/>
      </c>
      <c r="P36" s="17">
        <f>O36*N36</f>
        <v/>
      </c>
      <c r="Q36" s="17">
        <f>F36*M36+P36</f>
        <v/>
      </c>
      <c r="R36" s="12" t="n"/>
      <c r="S36" s="9" t="b">
        <v>0</v>
      </c>
      <c r="T36" s="17">
        <f>IF(AND(S36,ISNUMBER(R36)),IF(R36&gt;Q36,R36,Q36),Q36)</f>
        <v/>
      </c>
      <c r="U36" s="17">
        <f>T36-F36*M36</f>
        <v/>
      </c>
      <c r="V36" s="17" t="n">
        <v>214.1703468330278</v>
      </c>
      <c r="W36" s="9">
        <f>IF(ABS(T36-V36)&lt;0.01,"OK","CHECK")</f>
        <v/>
      </c>
    </row>
    <row r="37">
      <c r="A37" s="9" t="inlineStr">
        <is>
          <t>SYN_HOUSEHOLD_1_008_CA_1</t>
        </is>
      </c>
      <c r="B37" s="9" t="inlineStr">
        <is>
          <t>SYN_HOUSEHOLD_1_008</t>
        </is>
      </c>
      <c r="C37" s="9" t="inlineStr">
        <is>
          <t>CA_1</t>
        </is>
      </c>
      <c r="D37" s="9" t="inlineStr">
        <is>
          <t>HOUSEHOLD</t>
        </is>
      </c>
      <c r="E37" s="9" t="inlineStr">
        <is>
          <t>smooth</t>
        </is>
      </c>
      <c r="F37" s="18" t="n">
        <v>2.895603012507228</v>
      </c>
      <c r="G37" s="18" t="n">
        <v>1.872290203533048</v>
      </c>
      <c r="H37" s="12" t="n">
        <v>7</v>
      </c>
      <c r="I37" s="12" t="n">
        <v>2</v>
      </c>
      <c r="J37" s="12">
        <f>MAX(H37+Assumptions!$C$7,1)</f>
        <v/>
      </c>
      <c r="K37" s="17">
        <f>I37*Assumptions!$C$8</f>
        <v/>
      </c>
      <c r="L37" s="10">
        <f>Assumptions!$C$6</f>
        <v/>
      </c>
      <c r="M37" s="12">
        <f>J37+L37</f>
        <v/>
      </c>
      <c r="N37" s="17">
        <f>SQRT(M37*G37^2+F37^2*K37^2)</f>
        <v/>
      </c>
      <c r="O37" s="18">
        <f>Assumptions!$C$12</f>
        <v/>
      </c>
      <c r="P37" s="17">
        <f>O37*N37</f>
        <v/>
      </c>
      <c r="Q37" s="17">
        <f>F37*M37+P37</f>
        <v/>
      </c>
      <c r="R37" s="12" t="n"/>
      <c r="S37" s="9" t="b">
        <v>0</v>
      </c>
      <c r="T37" s="17">
        <f>IF(AND(S37,ISNUMBER(R37)),IF(R37&gt;Q37,R37,Q37),Q37)</f>
        <v/>
      </c>
      <c r="U37" s="17">
        <f>T37-F37*M37</f>
        <v/>
      </c>
      <c r="V37" s="17" t="n">
        <v>55.48894519268723</v>
      </c>
      <c r="W37" s="9">
        <f>IF(ABS(T37-V37)&lt;0.01,"OK","CHECK")</f>
        <v/>
      </c>
    </row>
    <row r="38">
      <c r="A38" s="9" t="inlineStr">
        <is>
          <t>SYN_HOUSEHOLD_1_009_CA_1</t>
        </is>
      </c>
      <c r="B38" s="9" t="inlineStr">
        <is>
          <t>SYN_HOUSEHOLD_1_009</t>
        </is>
      </c>
      <c r="C38" s="9" t="inlineStr">
        <is>
          <t>CA_1</t>
        </is>
      </c>
      <c r="D38" s="9" t="inlineStr">
        <is>
          <t>HOUSEHOLD</t>
        </is>
      </c>
      <c r="E38" s="9" t="inlineStr">
        <is>
          <t>smooth</t>
        </is>
      </c>
      <c r="F38" s="18" t="n">
        <v>13.375</v>
      </c>
      <c r="G38" s="18" t="n">
        <v>4.234530670570234</v>
      </c>
      <c r="H38" s="12" t="n">
        <v>7</v>
      </c>
      <c r="I38" s="12" t="n">
        <v>2</v>
      </c>
      <c r="J38" s="12">
        <f>MAX(H38+Assumptions!$C$7,1)</f>
        <v/>
      </c>
      <c r="K38" s="17">
        <f>I38*Assumptions!$C$8</f>
        <v/>
      </c>
      <c r="L38" s="10">
        <f>Assumptions!$C$6</f>
        <v/>
      </c>
      <c r="M38" s="12">
        <f>J38+L38</f>
        <v/>
      </c>
      <c r="N38" s="17">
        <f>SQRT(M38*G38^2+F38^2*K38^2)</f>
        <v/>
      </c>
      <c r="O38" s="18">
        <f>Assumptions!$C$12</f>
        <v/>
      </c>
      <c r="P38" s="17">
        <f>O38*N38</f>
        <v/>
      </c>
      <c r="Q38" s="17">
        <f>F38*M38+P38</f>
        <v/>
      </c>
      <c r="R38" s="12" t="n"/>
      <c r="S38" s="9" t="b">
        <v>0</v>
      </c>
      <c r="T38" s="17">
        <f>IF(AND(S38,ISNUMBER(R38)),IF(R38&gt;Q38,R38,Q38),Q38)</f>
        <v/>
      </c>
      <c r="U38" s="17">
        <f>T38-F38*M38</f>
        <v/>
      </c>
      <c r="V38" s="17" t="n">
        <v>238.3888139963024</v>
      </c>
      <c r="W38" s="9">
        <f>IF(ABS(T38-V38)&lt;0.01,"OK","CHECK")</f>
        <v/>
      </c>
    </row>
    <row r="39">
      <c r="A39" s="9" t="inlineStr">
        <is>
          <t>SYN_HOUSEHOLD_2_001_CA_1</t>
        </is>
      </c>
      <c r="B39" s="9" t="inlineStr">
        <is>
          <t>SYN_HOUSEHOLD_2_001</t>
        </is>
      </c>
      <c r="C39" s="9" t="inlineStr">
        <is>
          <t>CA_1</t>
        </is>
      </c>
      <c r="D39" s="9" t="inlineStr">
        <is>
          <t>HOUSEHOLD</t>
        </is>
      </c>
      <c r="E39" s="9" t="inlineStr">
        <is>
          <t>smooth</t>
        </is>
      </c>
      <c r="F39" s="18" t="n">
        <v>21.96697858951162</v>
      </c>
      <c r="G39" s="18" t="n">
        <v>5.309542131017205</v>
      </c>
      <c r="H39" s="12" t="n">
        <v>10</v>
      </c>
      <c r="I39" s="12" t="n">
        <v>3.5</v>
      </c>
      <c r="J39" s="12">
        <f>MAX(H39+Assumptions!$C$7,1)</f>
        <v/>
      </c>
      <c r="K39" s="17">
        <f>I39*Assumptions!$C$8</f>
        <v/>
      </c>
      <c r="L39" s="10">
        <f>Assumptions!$C$6</f>
        <v/>
      </c>
      <c r="M39" s="12">
        <f>J39+L39</f>
        <v/>
      </c>
      <c r="N39" s="17">
        <f>SQRT(M39*G39^2+F39^2*K39^2)</f>
        <v/>
      </c>
      <c r="O39" s="18">
        <f>Assumptions!$C$12</f>
        <v/>
      </c>
      <c r="P39" s="17">
        <f>O39*N39</f>
        <v/>
      </c>
      <c r="Q39" s="17">
        <f>F39*M39+P39</f>
        <v/>
      </c>
      <c r="R39" s="12" t="n"/>
      <c r="S39" s="9" t="b">
        <v>0</v>
      </c>
      <c r="T39" s="17">
        <f>IF(AND(S39,ISNUMBER(R39)),IF(R39&gt;Q39,R39,Q39),Q39)</f>
        <v/>
      </c>
      <c r="U39" s="17">
        <f>T39-F39*M39</f>
        <v/>
      </c>
      <c r="V39" s="17" t="n">
        <v>504.928875318695</v>
      </c>
      <c r="W39" s="9">
        <f>IF(ABS(T39-V39)&lt;0.01,"OK","CHECK")</f>
        <v/>
      </c>
    </row>
    <row r="40">
      <c r="A40" s="9" t="inlineStr">
        <is>
          <t>SYN_HOUSEHOLD_2_003_CA_1</t>
        </is>
      </c>
      <c r="B40" s="9" t="inlineStr">
        <is>
          <t>SYN_HOUSEHOLD_2_003</t>
        </is>
      </c>
      <c r="C40" s="9" t="inlineStr">
        <is>
          <t>CA_1</t>
        </is>
      </c>
      <c r="D40" s="9" t="inlineStr">
        <is>
          <t>HOUSEHOLD</t>
        </is>
      </c>
      <c r="E40" s="9" t="inlineStr">
        <is>
          <t>erratic</t>
        </is>
      </c>
      <c r="F40" s="18" t="n">
        <v>4.99939489364624</v>
      </c>
      <c r="G40" s="18" t="n">
        <v>5.048100391909954</v>
      </c>
      <c r="H40" s="12" t="n">
        <v>10</v>
      </c>
      <c r="I40" s="12" t="n">
        <v>3.5</v>
      </c>
      <c r="J40" s="12">
        <f>MAX(H40+Assumptions!$C$7,1)</f>
        <v/>
      </c>
      <c r="K40" s="17">
        <f>I40*Assumptions!$C$8</f>
        <v/>
      </c>
      <c r="L40" s="10">
        <f>Assumptions!$C$6</f>
        <v/>
      </c>
      <c r="M40" s="12">
        <f>J40+L40</f>
        <v/>
      </c>
      <c r="N40" s="17">
        <f>SQRT(M40*G40^2+F40^2*K40^2)</f>
        <v/>
      </c>
      <c r="O40" s="18">
        <f>Assumptions!$C$12</f>
        <v/>
      </c>
      <c r="P40" s="17">
        <f>O40*N40</f>
        <v/>
      </c>
      <c r="Q40" s="17">
        <f>F40*M40+P40</f>
        <v/>
      </c>
      <c r="R40" s="12" t="n"/>
      <c r="S40" s="9" t="b">
        <v>0</v>
      </c>
      <c r="T40" s="17">
        <f>IF(AND(S40,ISNUMBER(R40)),IF(R40&gt;Q40,R40,Q40),Q40)</f>
        <v/>
      </c>
      <c r="U40" s="17">
        <f>T40-F40*M40</f>
        <v/>
      </c>
      <c r="V40" s="17" t="n">
        <v>129.7161922869029</v>
      </c>
      <c r="W40" s="9">
        <f>IF(ABS(T40-V40)&lt;0.01,"OK","CHECK")</f>
        <v/>
      </c>
    </row>
    <row r="41">
      <c r="A41" s="9" t="inlineStr">
        <is>
          <t>SYN_HOUSEHOLD_2_004_CA_1</t>
        </is>
      </c>
      <c r="B41" s="9" t="inlineStr">
        <is>
          <t>SYN_HOUSEHOLD_2_004</t>
        </is>
      </c>
      <c r="C41" s="9" t="inlineStr">
        <is>
          <t>CA_1</t>
        </is>
      </c>
      <c r="D41" s="9" t="inlineStr">
        <is>
          <t>HOUSEHOLD</t>
        </is>
      </c>
      <c r="E41" s="9" t="inlineStr">
        <is>
          <t>smooth</t>
        </is>
      </c>
      <c r="F41" s="18" t="n">
        <v>17.41393152868236</v>
      </c>
      <c r="G41" s="18" t="n">
        <v>4.814203982932886</v>
      </c>
      <c r="H41" s="12" t="n">
        <v>10</v>
      </c>
      <c r="I41" s="12" t="n">
        <v>3.5</v>
      </c>
      <c r="J41" s="12">
        <f>MAX(H41+Assumptions!$C$7,1)</f>
        <v/>
      </c>
      <c r="K41" s="17">
        <f>I41*Assumptions!$C$8</f>
        <v/>
      </c>
      <c r="L41" s="10">
        <f>Assumptions!$C$6</f>
        <v/>
      </c>
      <c r="M41" s="12">
        <f>J41+L41</f>
        <v/>
      </c>
      <c r="N41" s="17">
        <f>SQRT(M41*G41^2+F41^2*K41^2)</f>
        <v/>
      </c>
      <c r="O41" s="18">
        <f>Assumptions!$C$12</f>
        <v/>
      </c>
      <c r="P41" s="17">
        <f>O41*N41</f>
        <v/>
      </c>
      <c r="Q41" s="17">
        <f>F41*M41+P41</f>
        <v/>
      </c>
      <c r="R41" s="12" t="n"/>
      <c r="S41" s="9" t="b">
        <v>0</v>
      </c>
      <c r="T41" s="17">
        <f>IF(AND(S41,ISNUMBER(R41)),IF(R41&gt;Q41,R41,Q41),Q41)</f>
        <v/>
      </c>
      <c r="U41" s="17">
        <f>T41-F41*M41</f>
        <v/>
      </c>
      <c r="V41" s="17" t="n">
        <v>401.4712208454154</v>
      </c>
      <c r="W41" s="9">
        <f>IF(ABS(T41-V41)&lt;0.01,"OK","CHECK")</f>
        <v/>
      </c>
    </row>
    <row r="42">
      <c r="A42" s="9" t="inlineStr">
        <is>
          <t>SYN_HOUSEHOLD_2_005_CA_1</t>
        </is>
      </c>
      <c r="B42" s="9" t="inlineStr">
        <is>
          <t>SYN_HOUSEHOLD_2_005</t>
        </is>
      </c>
      <c r="C42" s="9" t="inlineStr">
        <is>
          <t>CA_1</t>
        </is>
      </c>
      <c r="D42" s="9" t="inlineStr">
        <is>
          <t>HOUSEHOLD</t>
        </is>
      </c>
      <c r="E42" s="9" t="inlineStr">
        <is>
          <t>intermittent</t>
        </is>
      </c>
      <c r="F42" s="18" t="n">
        <v>1</v>
      </c>
      <c r="G42" s="18" t="n">
        <v>0.9935378024798764</v>
      </c>
      <c r="H42" s="12" t="n">
        <v>10</v>
      </c>
      <c r="I42" s="12" t="n">
        <v>3.5</v>
      </c>
      <c r="J42" s="12">
        <f>MAX(H42+Assumptions!$C$7,1)</f>
        <v/>
      </c>
      <c r="K42" s="17">
        <f>I42*Assumptions!$C$8</f>
        <v/>
      </c>
      <c r="L42" s="10">
        <f>Assumptions!$C$6</f>
        <v/>
      </c>
      <c r="M42" s="12">
        <f>J42+L42</f>
        <v/>
      </c>
      <c r="N42" s="17">
        <f>SQRT(M42*G42^2+F42^2*K42^2)</f>
        <v/>
      </c>
      <c r="O42" s="18">
        <f>Assumptions!$C$12</f>
        <v/>
      </c>
      <c r="P42" s="17">
        <f>O42*N42</f>
        <v/>
      </c>
      <c r="Q42" s="17">
        <f>F42*M42+P42</f>
        <v/>
      </c>
      <c r="R42" s="12" t="n">
        <v>26</v>
      </c>
      <c r="S42" s="9" t="b">
        <v>1</v>
      </c>
      <c r="T42" s="17">
        <f>IF(AND(S42,ISNUMBER(R42)),IF(R42&gt;Q42,R42,Q42),Q42)</f>
        <v/>
      </c>
      <c r="U42" s="17">
        <f>T42-F42*M42</f>
        <v/>
      </c>
      <c r="V42" s="17" t="n">
        <v>26</v>
      </c>
      <c r="W42" s="9">
        <f>IF(ABS(T42-V42)&lt;0.01,"OK","CHECK")</f>
        <v/>
      </c>
    </row>
    <row r="43">
      <c r="A43" s="9" t="inlineStr">
        <is>
          <t>SYN_HOUSEHOLD_2_006_CA_1</t>
        </is>
      </c>
      <c r="B43" s="9" t="inlineStr">
        <is>
          <t>SYN_HOUSEHOLD_2_006</t>
        </is>
      </c>
      <c r="C43" s="9" t="inlineStr">
        <is>
          <t>CA_1</t>
        </is>
      </c>
      <c r="D43" s="9" t="inlineStr">
        <is>
          <t>HOUSEHOLD</t>
        </is>
      </c>
      <c r="E43" s="9" t="inlineStr">
        <is>
          <t>erratic</t>
        </is>
      </c>
      <c r="F43" s="18" t="n">
        <v>5.890241146087647</v>
      </c>
      <c r="G43" s="18" t="n">
        <v>7.18393868576446</v>
      </c>
      <c r="H43" s="12" t="n">
        <v>10</v>
      </c>
      <c r="I43" s="12" t="n">
        <v>3.5</v>
      </c>
      <c r="J43" s="12">
        <f>MAX(H43+Assumptions!$C$7,1)</f>
        <v/>
      </c>
      <c r="K43" s="17">
        <f>I43*Assumptions!$C$8</f>
        <v/>
      </c>
      <c r="L43" s="10">
        <f>Assumptions!$C$6</f>
        <v/>
      </c>
      <c r="M43" s="12">
        <f>J43+L43</f>
        <v/>
      </c>
      <c r="N43" s="17">
        <f>SQRT(M43*G43^2+F43^2*K43^2)</f>
        <v/>
      </c>
      <c r="O43" s="18">
        <f>Assumptions!$C$12</f>
        <v/>
      </c>
      <c r="P43" s="17">
        <f>O43*N43</f>
        <v/>
      </c>
      <c r="Q43" s="17">
        <f>F43*M43+P43</f>
        <v/>
      </c>
      <c r="R43" s="12" t="n"/>
      <c r="S43" s="9" t="b">
        <v>0</v>
      </c>
      <c r="T43" s="17">
        <f>IF(AND(S43,ISNUMBER(R43)),IF(R43&gt;Q43,R43,Q43),Q43)</f>
        <v/>
      </c>
      <c r="U43" s="17">
        <f>T43-F43*M43</f>
        <v/>
      </c>
      <c r="V43" s="17" t="n">
        <v>159.4940751919651</v>
      </c>
      <c r="W43" s="9">
        <f>IF(ABS(T43-V43)&lt;0.01,"OK","CHECK")</f>
        <v/>
      </c>
    </row>
    <row r="44">
      <c r="A44" s="9" t="inlineStr">
        <is>
          <t>SYN_HOUSEHOLD_2_007_CA_1</t>
        </is>
      </c>
      <c r="B44" s="9" t="inlineStr">
        <is>
          <t>SYN_HOUSEHOLD_2_007</t>
        </is>
      </c>
      <c r="C44" s="9" t="inlineStr">
        <is>
          <t>CA_1</t>
        </is>
      </c>
      <c r="D44" s="9" t="inlineStr">
        <is>
          <t>HOUSEHOLD</t>
        </is>
      </c>
      <c r="E44" s="9" t="inlineStr">
        <is>
          <t>intermittent</t>
        </is>
      </c>
      <c r="F44" s="18" t="n">
        <v>0.875</v>
      </c>
      <c r="G44" s="18" t="n">
        <v>1.134877270981108</v>
      </c>
      <c r="H44" s="12" t="n">
        <v>10</v>
      </c>
      <c r="I44" s="12" t="n">
        <v>3.5</v>
      </c>
      <c r="J44" s="12">
        <f>MAX(H44+Assumptions!$C$7,1)</f>
        <v/>
      </c>
      <c r="K44" s="17">
        <f>I44*Assumptions!$C$8</f>
        <v/>
      </c>
      <c r="L44" s="10">
        <f>Assumptions!$C$6</f>
        <v/>
      </c>
      <c r="M44" s="12">
        <f>J44+L44</f>
        <v/>
      </c>
      <c r="N44" s="17">
        <f>SQRT(M44*G44^2+F44^2*K44^2)</f>
        <v/>
      </c>
      <c r="O44" s="18">
        <f>Assumptions!$C$12</f>
        <v/>
      </c>
      <c r="P44" s="17">
        <f>O44*N44</f>
        <v/>
      </c>
      <c r="Q44" s="17">
        <f>F44*M44+P44</f>
        <v/>
      </c>
      <c r="R44" s="12" t="n">
        <v>22</v>
      </c>
      <c r="S44" s="9" t="b">
        <v>1</v>
      </c>
      <c r="T44" s="17">
        <f>IF(AND(S44,ISNUMBER(R44)),IF(R44&gt;Q44,R44,Q44),Q44)</f>
        <v/>
      </c>
      <c r="U44" s="17">
        <f>T44-F44*M44</f>
        <v/>
      </c>
      <c r="V44" s="17" t="n">
        <v>24.07354082626832</v>
      </c>
      <c r="W44" s="9">
        <f>IF(ABS(T44-V44)&lt;0.01,"OK","CHECK")</f>
        <v/>
      </c>
    </row>
    <row r="45">
      <c r="A45" s="9" t="inlineStr">
        <is>
          <t>SYN_FOODS_1_001_CA_2</t>
        </is>
      </c>
      <c r="B45" s="9" t="inlineStr">
        <is>
          <t>SYN_FOODS_1_001</t>
        </is>
      </c>
      <c r="C45" s="9" t="inlineStr">
        <is>
          <t>CA_2</t>
        </is>
      </c>
      <c r="D45" s="9" t="inlineStr">
        <is>
          <t>FOODS</t>
        </is>
      </c>
      <c r="E45" s="9" t="inlineStr">
        <is>
          <t>erratic</t>
        </is>
      </c>
      <c r="F45" s="18" t="n">
        <v>7.879524230957031</v>
      </c>
      <c r="G45" s="18" t="n">
        <v>5.606086486505319</v>
      </c>
      <c r="H45" s="12" t="n">
        <v>5</v>
      </c>
      <c r="I45" s="12" t="n">
        <v>1</v>
      </c>
      <c r="J45" s="12">
        <f>MAX(H45+Assumptions!$C$7,1)</f>
        <v/>
      </c>
      <c r="K45" s="17">
        <f>I45*Assumptions!$C$8</f>
        <v/>
      </c>
      <c r="L45" s="10">
        <f>Assumptions!$C$6</f>
        <v/>
      </c>
      <c r="M45" s="12">
        <f>J45+L45</f>
        <v/>
      </c>
      <c r="N45" s="17">
        <f>SQRT(M45*G45^2+F45^2*K45^2)</f>
        <v/>
      </c>
      <c r="O45" s="18">
        <f>Assumptions!$C$12</f>
        <v/>
      </c>
      <c r="P45" s="17">
        <f>O45*N45</f>
        <v/>
      </c>
      <c r="Q45" s="17">
        <f>F45*M45+P45</f>
        <v/>
      </c>
      <c r="R45" s="12" t="n"/>
      <c r="S45" s="9" t="b">
        <v>0</v>
      </c>
      <c r="T45" s="17">
        <f>IF(AND(S45,ISNUMBER(R45)),IF(R45&gt;Q45,R45,Q45),Q45)</f>
        <v/>
      </c>
      <c r="U45" s="17">
        <f>T45-F45*M45</f>
        <v/>
      </c>
      <c r="V45" s="17" t="n">
        <v>129.026646699535</v>
      </c>
      <c r="W45" s="9">
        <f>IF(ABS(T45-V45)&lt;0.01,"OK","CHECK")</f>
        <v/>
      </c>
    </row>
    <row r="46">
      <c r="A46" s="9" t="inlineStr">
        <is>
          <t>SYN_FOODS_1_002_CA_2</t>
        </is>
      </c>
      <c r="B46" s="9" t="inlineStr">
        <is>
          <t>SYN_FOODS_1_002</t>
        </is>
      </c>
      <c r="C46" s="9" t="inlineStr">
        <is>
          <t>CA_2</t>
        </is>
      </c>
      <c r="D46" s="9" t="inlineStr">
        <is>
          <t>FOODS</t>
        </is>
      </c>
      <c r="E46" s="9" t="inlineStr">
        <is>
          <t>smooth</t>
        </is>
      </c>
      <c r="F46" s="18" t="n">
        <v>6.968380928039551</v>
      </c>
      <c r="G46" s="18" t="n">
        <v>2.907683692408785</v>
      </c>
      <c r="H46" s="12" t="n">
        <v>5</v>
      </c>
      <c r="I46" s="12" t="n">
        <v>1</v>
      </c>
      <c r="J46" s="12">
        <f>MAX(H46+Assumptions!$C$7,1)</f>
        <v/>
      </c>
      <c r="K46" s="17">
        <f>I46*Assumptions!$C$8</f>
        <v/>
      </c>
      <c r="L46" s="10">
        <f>Assumptions!$C$6</f>
        <v/>
      </c>
      <c r="M46" s="12">
        <f>J46+L46</f>
        <v/>
      </c>
      <c r="N46" s="17">
        <f>SQRT(M46*G46^2+F46^2*K46^2)</f>
        <v/>
      </c>
      <c r="O46" s="18">
        <f>Assumptions!$C$12</f>
        <v/>
      </c>
      <c r="P46" s="17">
        <f>O46*N46</f>
        <v/>
      </c>
      <c r="Q46" s="17">
        <f>F46*M46+P46</f>
        <v/>
      </c>
      <c r="R46" s="12" t="n"/>
      <c r="S46" s="9" t="b">
        <v>0</v>
      </c>
      <c r="T46" s="17">
        <f>IF(AND(S46,ISNUMBER(R46)),IF(R46&gt;Q46,R46,Q46),Q46)</f>
        <v/>
      </c>
      <c r="U46" s="17">
        <f>T46-F46*M46</f>
        <v/>
      </c>
      <c r="V46" s="17" t="n">
        <v>103.7667599734434</v>
      </c>
      <c r="W46" s="9">
        <f>IF(ABS(T46-V46)&lt;0.01,"OK","CHECK")</f>
        <v/>
      </c>
    </row>
    <row r="47">
      <c r="A47" s="9" t="inlineStr">
        <is>
          <t>SYN_FOODS_1_005_CA_2</t>
        </is>
      </c>
      <c r="B47" s="9" t="inlineStr">
        <is>
          <t>SYN_FOODS_1_005</t>
        </is>
      </c>
      <c r="C47" s="9" t="inlineStr">
        <is>
          <t>CA_2</t>
        </is>
      </c>
      <c r="D47" s="9" t="inlineStr">
        <is>
          <t>FOODS</t>
        </is>
      </c>
      <c r="E47" s="9" t="inlineStr">
        <is>
          <t>lumpy</t>
        </is>
      </c>
      <c r="F47" s="18" t="n">
        <v>1.438416558801267</v>
      </c>
      <c r="G47" s="18" t="n">
        <v>2.56310731050688</v>
      </c>
      <c r="H47" s="12" t="n">
        <v>5</v>
      </c>
      <c r="I47" s="12" t="n">
        <v>1</v>
      </c>
      <c r="J47" s="12">
        <f>MAX(H47+Assumptions!$C$7,1)</f>
        <v/>
      </c>
      <c r="K47" s="17">
        <f>I47*Assumptions!$C$8</f>
        <v/>
      </c>
      <c r="L47" s="10">
        <f>Assumptions!$C$6</f>
        <v/>
      </c>
      <c r="M47" s="12">
        <f>J47+L47</f>
        <v/>
      </c>
      <c r="N47" s="17">
        <f>SQRT(M47*G47^2+F47^2*K47^2)</f>
        <v/>
      </c>
      <c r="O47" s="18">
        <f>Assumptions!$C$12</f>
        <v/>
      </c>
      <c r="P47" s="17">
        <f>O47*N47</f>
        <v/>
      </c>
      <c r="Q47" s="17">
        <f>F47*M47+P47</f>
        <v/>
      </c>
      <c r="R47" s="12" t="n">
        <v>31</v>
      </c>
      <c r="S47" s="9" t="b">
        <v>1</v>
      </c>
      <c r="T47" s="17">
        <f>IF(AND(S47,ISNUMBER(R47)),IF(R47&gt;Q47,R47,Q47),Q47)</f>
        <v/>
      </c>
      <c r="U47" s="17">
        <f>T47-F47*M47</f>
        <v/>
      </c>
      <c r="V47" s="17" t="n">
        <v>32.05583954209989</v>
      </c>
      <c r="W47" s="9">
        <f>IF(ABS(T47-V47)&lt;0.01,"OK","CHECK")</f>
        <v/>
      </c>
    </row>
    <row r="48">
      <c r="A48" s="9" t="inlineStr">
        <is>
          <t>SYN_FOODS_1_006_CA_2</t>
        </is>
      </c>
      <c r="B48" s="9" t="inlineStr">
        <is>
          <t>SYN_FOODS_1_006</t>
        </is>
      </c>
      <c r="C48" s="9" t="inlineStr">
        <is>
          <t>CA_2</t>
        </is>
      </c>
      <c r="D48" s="9" t="inlineStr">
        <is>
          <t>FOODS</t>
        </is>
      </c>
      <c r="E48" s="9" t="inlineStr">
        <is>
          <t>lumpy</t>
        </is>
      </c>
      <c r="F48" s="18" t="n">
        <v>0.9642857142857144</v>
      </c>
      <c r="G48" s="18" t="n">
        <v>1.809484659070575</v>
      </c>
      <c r="H48" s="12" t="n">
        <v>5</v>
      </c>
      <c r="I48" s="12" t="n">
        <v>1</v>
      </c>
      <c r="J48" s="12">
        <f>MAX(H48+Assumptions!$C$7,1)</f>
        <v/>
      </c>
      <c r="K48" s="17">
        <f>I48*Assumptions!$C$8</f>
        <v/>
      </c>
      <c r="L48" s="10">
        <f>Assumptions!$C$6</f>
        <v/>
      </c>
      <c r="M48" s="12">
        <f>J48+L48</f>
        <v/>
      </c>
      <c r="N48" s="17">
        <f>SQRT(M48*G48^2+F48^2*K48^2)</f>
        <v/>
      </c>
      <c r="O48" s="18">
        <f>Assumptions!$C$12</f>
        <v/>
      </c>
      <c r="P48" s="17">
        <f>O48*N48</f>
        <v/>
      </c>
      <c r="Q48" s="17">
        <f>F48*M48+P48</f>
        <v/>
      </c>
      <c r="R48" s="12" t="n">
        <v>26</v>
      </c>
      <c r="S48" s="9" t="b">
        <v>1</v>
      </c>
      <c r="T48" s="17">
        <f>IF(AND(S48,ISNUMBER(R48)),IF(R48&gt;Q48,R48,Q48),Q48)</f>
        <v/>
      </c>
      <c r="U48" s="17">
        <f>T48-F48*M48</f>
        <v/>
      </c>
      <c r="V48" s="17" t="n">
        <v>26</v>
      </c>
      <c r="W48" s="9">
        <f>IF(ABS(T48-V48)&lt;0.01,"OK","CHECK")</f>
        <v/>
      </c>
    </row>
    <row r="49">
      <c r="A49" s="9" t="inlineStr">
        <is>
          <t>SYN_FOODS_1_007_CA_2</t>
        </is>
      </c>
      <c r="B49" s="9" t="inlineStr">
        <is>
          <t>SYN_FOODS_1_007</t>
        </is>
      </c>
      <c r="C49" s="9" t="inlineStr">
        <is>
          <t>CA_2</t>
        </is>
      </c>
      <c r="D49" s="9" t="inlineStr">
        <is>
          <t>FOODS</t>
        </is>
      </c>
      <c r="E49" s="9" t="inlineStr">
        <is>
          <t>smooth</t>
        </is>
      </c>
      <c r="F49" s="18" t="n">
        <v>18.14285714285714</v>
      </c>
      <c r="G49" s="18" t="n">
        <v>5.777728174390247</v>
      </c>
      <c r="H49" s="12" t="n">
        <v>5</v>
      </c>
      <c r="I49" s="12" t="n">
        <v>1</v>
      </c>
      <c r="J49" s="12">
        <f>MAX(H49+Assumptions!$C$7,1)</f>
        <v/>
      </c>
      <c r="K49" s="17">
        <f>I49*Assumptions!$C$8</f>
        <v/>
      </c>
      <c r="L49" s="10">
        <f>Assumptions!$C$6</f>
        <v/>
      </c>
      <c r="M49" s="12">
        <f>J49+L49</f>
        <v/>
      </c>
      <c r="N49" s="17">
        <f>SQRT(M49*G49^2+F49^2*K49^2)</f>
        <v/>
      </c>
      <c r="O49" s="18">
        <f>Assumptions!$C$12</f>
        <v/>
      </c>
      <c r="P49" s="17">
        <f>O49*N49</f>
        <v/>
      </c>
      <c r="Q49" s="17">
        <f>F49*M49+P49</f>
        <v/>
      </c>
      <c r="R49" s="12" t="n"/>
      <c r="S49" s="9" t="b">
        <v>0</v>
      </c>
      <c r="T49" s="17">
        <f>IF(AND(S49,ISNUMBER(R49)),IF(R49&gt;Q49,R49,Q49),Q49)</f>
        <v/>
      </c>
      <c r="U49" s="17">
        <f>T49-F49*M49</f>
        <v/>
      </c>
      <c r="V49" s="17" t="n">
        <v>262.1481418434092</v>
      </c>
      <c r="W49" s="9">
        <f>IF(ABS(T49-V49)&lt;0.01,"OK","CHECK")</f>
        <v/>
      </c>
    </row>
    <row r="50">
      <c r="A50" s="9" t="inlineStr">
        <is>
          <t>SYN_FOODS_1_009_CA_2</t>
        </is>
      </c>
      <c r="B50" s="9" t="inlineStr">
        <is>
          <t>SYN_FOODS_1_009</t>
        </is>
      </c>
      <c r="C50" s="9" t="inlineStr">
        <is>
          <t>CA_2</t>
        </is>
      </c>
      <c r="D50" s="9" t="inlineStr">
        <is>
          <t>FOODS</t>
        </is>
      </c>
      <c r="E50" s="9" t="inlineStr">
        <is>
          <t>smooth</t>
        </is>
      </c>
      <c r="F50" s="18" t="n">
        <v>16.97583297482478</v>
      </c>
      <c r="G50" s="18" t="n">
        <v>5.158611852888707</v>
      </c>
      <c r="H50" s="12" t="n">
        <v>5</v>
      </c>
      <c r="I50" s="12" t="n">
        <v>1</v>
      </c>
      <c r="J50" s="12">
        <f>MAX(H50+Assumptions!$C$7,1)</f>
        <v/>
      </c>
      <c r="K50" s="17">
        <f>I50*Assumptions!$C$8</f>
        <v/>
      </c>
      <c r="L50" s="10">
        <f>Assumptions!$C$6</f>
        <v/>
      </c>
      <c r="M50" s="12">
        <f>J50+L50</f>
        <v/>
      </c>
      <c r="N50" s="17">
        <f>SQRT(M50*G50^2+F50^2*K50^2)</f>
        <v/>
      </c>
      <c r="O50" s="18">
        <f>Assumptions!$C$12</f>
        <v/>
      </c>
      <c r="P50" s="17">
        <f>O50*N50</f>
        <v/>
      </c>
      <c r="Q50" s="17">
        <f>F50*M50+P50</f>
        <v/>
      </c>
      <c r="R50" s="12" t="n"/>
      <c r="S50" s="9" t="b">
        <v>0</v>
      </c>
      <c r="T50" s="17">
        <f>IF(AND(S50,ISNUMBER(R50)),IF(R50&gt;Q50,R50,Q50),Q50)</f>
        <v/>
      </c>
      <c r="U50" s="17">
        <f>T50-F50*M50</f>
        <v/>
      </c>
      <c r="V50" s="17" t="n">
        <v>244.2520247298735</v>
      </c>
      <c r="W50" s="9">
        <f>IF(ABS(T50-V50)&lt;0.01,"OK","CHECK")</f>
        <v/>
      </c>
    </row>
    <row r="51">
      <c r="A51" s="9" t="inlineStr">
        <is>
          <t>SYN_FOODS_2_003_CA_2</t>
        </is>
      </c>
      <c r="B51" s="9" t="inlineStr">
        <is>
          <t>SYN_FOODS_2_003</t>
        </is>
      </c>
      <c r="C51" s="9" t="inlineStr">
        <is>
          <t>CA_2</t>
        </is>
      </c>
      <c r="D51" s="9" t="inlineStr">
        <is>
          <t>FOODS</t>
        </is>
      </c>
      <c r="E51" s="9" t="inlineStr">
        <is>
          <t>smooth</t>
        </is>
      </c>
      <c r="F51" s="18" t="n">
        <v>5.06488037109375</v>
      </c>
      <c r="G51" s="18" t="n">
        <v>2.6710651533243</v>
      </c>
      <c r="H51" s="12" t="n">
        <v>6</v>
      </c>
      <c r="I51" s="12" t="n">
        <v>1.5</v>
      </c>
      <c r="J51" s="12">
        <f>MAX(H51+Assumptions!$C$7,1)</f>
        <v/>
      </c>
      <c r="K51" s="17">
        <f>I51*Assumptions!$C$8</f>
        <v/>
      </c>
      <c r="L51" s="10">
        <f>Assumptions!$C$6</f>
        <v/>
      </c>
      <c r="M51" s="12">
        <f>J51+L51</f>
        <v/>
      </c>
      <c r="N51" s="17">
        <f>SQRT(M51*G51^2+F51^2*K51^2)</f>
        <v/>
      </c>
      <c r="O51" s="18">
        <f>Assumptions!$C$12</f>
        <v/>
      </c>
      <c r="P51" s="17">
        <f>O51*N51</f>
        <v/>
      </c>
      <c r="Q51" s="17">
        <f>F51*M51+P51</f>
        <v/>
      </c>
      <c r="R51" s="12" t="n"/>
      <c r="S51" s="9" t="b">
        <v>0</v>
      </c>
      <c r="T51" s="17">
        <f>IF(AND(S51,ISNUMBER(R51)),IF(R51&gt;Q51,R51,Q51),Q51)</f>
        <v/>
      </c>
      <c r="U51" s="17">
        <f>T51-F51*M51</f>
        <v/>
      </c>
      <c r="V51" s="17" t="n">
        <v>86.02017021628873</v>
      </c>
      <c r="W51" s="9">
        <f>IF(ABS(T51-V51)&lt;0.01,"OK","CHECK")</f>
        <v/>
      </c>
    </row>
    <row r="52">
      <c r="A52" s="9" t="inlineStr">
        <is>
          <t>SYN_FOODS_2_004_CA_2</t>
        </is>
      </c>
      <c r="B52" s="9" t="inlineStr">
        <is>
          <t>SYN_FOODS_2_004</t>
        </is>
      </c>
      <c r="C52" s="9" t="inlineStr">
        <is>
          <t>CA_2</t>
        </is>
      </c>
      <c r="D52" s="9" t="inlineStr">
        <is>
          <t>FOODS</t>
        </is>
      </c>
      <c r="E52" s="9" t="inlineStr">
        <is>
          <t>intermittent</t>
        </is>
      </c>
      <c r="F52" s="18" t="n">
        <v>0.1428571428571428</v>
      </c>
      <c r="G52" s="18" t="n">
        <v>0.3895968595514592</v>
      </c>
      <c r="H52" s="12" t="n">
        <v>6</v>
      </c>
      <c r="I52" s="12" t="n">
        <v>1.5</v>
      </c>
      <c r="J52" s="12">
        <f>MAX(H52+Assumptions!$C$7,1)</f>
        <v/>
      </c>
      <c r="K52" s="17">
        <f>I52*Assumptions!$C$8</f>
        <v/>
      </c>
      <c r="L52" s="10">
        <f>Assumptions!$C$6</f>
        <v/>
      </c>
      <c r="M52" s="12">
        <f>J52+L52</f>
        <v/>
      </c>
      <c r="N52" s="17">
        <f>SQRT(M52*G52^2+F52^2*K52^2)</f>
        <v/>
      </c>
      <c r="O52" s="18">
        <f>Assumptions!$C$12</f>
        <v/>
      </c>
      <c r="P52" s="17">
        <f>O52*N52</f>
        <v/>
      </c>
      <c r="Q52" s="17">
        <f>F52*M52+P52</f>
        <v/>
      </c>
      <c r="R52" s="12" t="n">
        <v>5</v>
      </c>
      <c r="S52" s="9" t="b">
        <v>1</v>
      </c>
      <c r="T52" s="17">
        <f>IF(AND(S52,ISNUMBER(R52)),IF(R52&gt;Q52,R52,Q52),Q52)</f>
        <v/>
      </c>
      <c r="U52" s="17">
        <f>T52-F52*M52</f>
        <v/>
      </c>
      <c r="V52" s="17" t="n">
        <v>5</v>
      </c>
      <c r="W52" s="9">
        <f>IF(ABS(T52-V52)&lt;0.01,"OK","CHECK")</f>
        <v/>
      </c>
    </row>
    <row r="53">
      <c r="A53" s="9" t="inlineStr">
        <is>
          <t>SYN_FOODS_2_005_CA_2</t>
        </is>
      </c>
      <c r="B53" s="9" t="inlineStr">
        <is>
          <t>SYN_FOODS_2_005</t>
        </is>
      </c>
      <c r="C53" s="9" t="inlineStr">
        <is>
          <t>CA_2</t>
        </is>
      </c>
      <c r="D53" s="9" t="inlineStr">
        <is>
          <t>FOODS</t>
        </is>
      </c>
      <c r="E53" s="9" t="inlineStr">
        <is>
          <t>lumpy</t>
        </is>
      </c>
      <c r="F53" s="18" t="n">
        <v>0.903910994529724</v>
      </c>
      <c r="G53" s="18" t="n">
        <v>2.697739145337333</v>
      </c>
      <c r="H53" s="12" t="n">
        <v>6</v>
      </c>
      <c r="I53" s="12" t="n">
        <v>1.5</v>
      </c>
      <c r="J53" s="12">
        <f>MAX(H53+Assumptions!$C$7,1)</f>
        <v/>
      </c>
      <c r="K53" s="17">
        <f>I53*Assumptions!$C$8</f>
        <v/>
      </c>
      <c r="L53" s="10">
        <f>Assumptions!$C$6</f>
        <v/>
      </c>
      <c r="M53" s="12">
        <f>J53+L53</f>
        <v/>
      </c>
      <c r="N53" s="17">
        <f>SQRT(M53*G53^2+F53^2*K53^2)</f>
        <v/>
      </c>
      <c r="O53" s="18">
        <f>Assumptions!$C$12</f>
        <v/>
      </c>
      <c r="P53" s="17">
        <f>O53*N53</f>
        <v/>
      </c>
      <c r="Q53" s="17">
        <f>F53*M53+P53</f>
        <v/>
      </c>
      <c r="R53" s="12" t="n">
        <v>23</v>
      </c>
      <c r="S53" s="9" t="b">
        <v>1</v>
      </c>
      <c r="T53" s="17">
        <f>IF(AND(S53,ISNUMBER(R53)),IF(R53&gt;Q53,R53,Q53),Q53)</f>
        <v/>
      </c>
      <c r="U53" s="17">
        <f>T53-F53*M53</f>
        <v/>
      </c>
      <c r="V53" s="17" t="n">
        <v>27.90475671881271</v>
      </c>
      <c r="W53" s="9">
        <f>IF(ABS(T53-V53)&lt;0.01,"OK","CHECK")</f>
        <v/>
      </c>
    </row>
    <row r="54">
      <c r="A54" s="9" t="inlineStr">
        <is>
          <t>SYN_FOODS_2_009_CA_2</t>
        </is>
      </c>
      <c r="B54" s="9" t="inlineStr">
        <is>
          <t>SYN_FOODS_2_009</t>
        </is>
      </c>
      <c r="C54" s="9" t="inlineStr">
        <is>
          <t>CA_2</t>
        </is>
      </c>
      <c r="D54" s="9" t="inlineStr">
        <is>
          <t>FOODS</t>
        </is>
      </c>
      <c r="E54" s="9" t="inlineStr">
        <is>
          <t>smooth</t>
        </is>
      </c>
      <c r="F54" s="18" t="n">
        <v>22.81556101601683</v>
      </c>
      <c r="G54" s="18" t="n">
        <v>6.180183767299331</v>
      </c>
      <c r="H54" s="12" t="n">
        <v>6</v>
      </c>
      <c r="I54" s="12" t="n">
        <v>1.5</v>
      </c>
      <c r="J54" s="12">
        <f>MAX(H54+Assumptions!$C$7,1)</f>
        <v/>
      </c>
      <c r="K54" s="17">
        <f>I54*Assumptions!$C$8</f>
        <v/>
      </c>
      <c r="L54" s="10">
        <f>Assumptions!$C$6</f>
        <v/>
      </c>
      <c r="M54" s="12">
        <f>J54+L54</f>
        <v/>
      </c>
      <c r="N54" s="17">
        <f>SQRT(M54*G54^2+F54^2*K54^2)</f>
        <v/>
      </c>
      <c r="O54" s="18">
        <f>Assumptions!$C$12</f>
        <v/>
      </c>
      <c r="P54" s="17">
        <f>O54*N54</f>
        <v/>
      </c>
      <c r="Q54" s="17">
        <f>F54*M54+P54</f>
        <v/>
      </c>
      <c r="R54" s="12" t="n"/>
      <c r="S54" s="9" t="b">
        <v>0</v>
      </c>
      <c r="T54" s="17">
        <f>IF(AND(S54,ISNUMBER(R54)),IF(R54&gt;Q54,R54,Q54),Q54)</f>
        <v/>
      </c>
      <c r="U54" s="17">
        <f>T54-F54*M54</f>
        <v/>
      </c>
      <c r="V54" s="17" t="n">
        <v>363.7753408850722</v>
      </c>
      <c r="W54" s="9">
        <f>IF(ABS(T54-V54)&lt;0.01,"OK","CHECK")</f>
        <v/>
      </c>
    </row>
    <row r="55">
      <c r="A55" s="9" t="inlineStr">
        <is>
          <t>SYN_FOODS_3_001_CA_2</t>
        </is>
      </c>
      <c r="B55" s="9" t="inlineStr">
        <is>
          <t>SYN_FOODS_3_001</t>
        </is>
      </c>
      <c r="C55" s="9" t="inlineStr">
        <is>
          <t>CA_2</t>
        </is>
      </c>
      <c r="D55" s="9" t="inlineStr">
        <is>
          <t>FOODS</t>
        </is>
      </c>
      <c r="E55" s="9" t="inlineStr">
        <is>
          <t>intermittent</t>
        </is>
      </c>
      <c r="F55" s="18" t="n">
        <v>1.619354963302612</v>
      </c>
      <c r="G55" s="18" t="n">
        <v>1.468644552548099</v>
      </c>
      <c r="H55" s="12" t="n">
        <v>3</v>
      </c>
      <c r="I55" s="12" t="n">
        <v>0.8</v>
      </c>
      <c r="J55" s="12">
        <f>MAX(H55+Assumptions!$C$7,1)</f>
        <v/>
      </c>
      <c r="K55" s="17">
        <f>I55*Assumptions!$C$8</f>
        <v/>
      </c>
      <c r="L55" s="10">
        <f>Assumptions!$C$6</f>
        <v/>
      </c>
      <c r="M55" s="12">
        <f>J55+L55</f>
        <v/>
      </c>
      <c r="N55" s="17">
        <f>SQRT(M55*G55^2+F55^2*K55^2)</f>
        <v/>
      </c>
      <c r="O55" s="18">
        <f>Assumptions!$C$12</f>
        <v/>
      </c>
      <c r="P55" s="17">
        <f>O55*N55</f>
        <v/>
      </c>
      <c r="Q55" s="17">
        <f>F55*M55+P55</f>
        <v/>
      </c>
      <c r="R55" s="12" t="n">
        <v>29</v>
      </c>
      <c r="S55" s="9" t="b">
        <v>1</v>
      </c>
      <c r="T55" s="17">
        <f>IF(AND(S55,ISNUMBER(R55)),IF(R55&gt;Q55,R55,Q55),Q55)</f>
        <v/>
      </c>
      <c r="U55" s="17">
        <f>T55-F55*M55</f>
        <v/>
      </c>
      <c r="V55" s="17" t="n">
        <v>29</v>
      </c>
      <c r="W55" s="9">
        <f>IF(ABS(T55-V55)&lt;0.01,"OK","CHECK")</f>
        <v/>
      </c>
    </row>
    <row r="56">
      <c r="A56" s="9" t="inlineStr">
        <is>
          <t>SYN_FOODS_3_002_CA_2</t>
        </is>
      </c>
      <c r="B56" s="9" t="inlineStr">
        <is>
          <t>SYN_FOODS_3_002</t>
        </is>
      </c>
      <c r="C56" s="9" t="inlineStr">
        <is>
          <t>CA_2</t>
        </is>
      </c>
      <c r="D56" s="9" t="inlineStr">
        <is>
          <t>FOODS</t>
        </is>
      </c>
      <c r="E56" s="9" t="inlineStr">
        <is>
          <t>erratic</t>
        </is>
      </c>
      <c r="F56" s="18" t="n">
        <v>4.287632942199707</v>
      </c>
      <c r="G56" s="18" t="n">
        <v>4.475224016953696</v>
      </c>
      <c r="H56" s="12" t="n">
        <v>3</v>
      </c>
      <c r="I56" s="12" t="n">
        <v>0.8</v>
      </c>
      <c r="J56" s="12">
        <f>MAX(H56+Assumptions!$C$7,1)</f>
        <v/>
      </c>
      <c r="K56" s="17">
        <f>I56*Assumptions!$C$8</f>
        <v/>
      </c>
      <c r="L56" s="10">
        <f>Assumptions!$C$6</f>
        <v/>
      </c>
      <c r="M56" s="12">
        <f>J56+L56</f>
        <v/>
      </c>
      <c r="N56" s="17">
        <f>SQRT(M56*G56^2+F56^2*K56^2)</f>
        <v/>
      </c>
      <c r="O56" s="18">
        <f>Assumptions!$C$12</f>
        <v/>
      </c>
      <c r="P56" s="17">
        <f>O56*N56</f>
        <v/>
      </c>
      <c r="Q56" s="17">
        <f>F56*M56+P56</f>
        <v/>
      </c>
      <c r="R56" s="12" t="n"/>
      <c r="S56" s="9" t="b">
        <v>0</v>
      </c>
      <c r="T56" s="17">
        <f>IF(AND(S56,ISNUMBER(R56)),IF(R56&gt;Q56,R56,Q56),Q56)</f>
        <v/>
      </c>
      <c r="U56" s="17">
        <f>T56-F56*M56</f>
        <v/>
      </c>
      <c r="V56" s="17" t="n">
        <v>66.82812796410731</v>
      </c>
      <c r="W56" s="9">
        <f>IF(ABS(T56-V56)&lt;0.01,"OK","CHECK")</f>
        <v/>
      </c>
    </row>
    <row r="57">
      <c r="A57" s="9" t="inlineStr">
        <is>
          <t>SYN_FOODS_3_003_CA_2</t>
        </is>
      </c>
      <c r="B57" s="9" t="inlineStr">
        <is>
          <t>SYN_FOODS_3_003</t>
        </is>
      </c>
      <c r="C57" s="9" t="inlineStr">
        <is>
          <t>CA_2</t>
        </is>
      </c>
      <c r="D57" s="9" t="inlineStr">
        <is>
          <t>FOODS</t>
        </is>
      </c>
      <c r="E57" s="9" t="inlineStr">
        <is>
          <t>erratic</t>
        </is>
      </c>
      <c r="F57" s="18" t="n">
        <v>7.144285136725402</v>
      </c>
      <c r="G57" s="18" t="n">
        <v>7.022473648337809</v>
      </c>
      <c r="H57" s="12" t="n">
        <v>3</v>
      </c>
      <c r="I57" s="12" t="n">
        <v>0.8</v>
      </c>
      <c r="J57" s="12">
        <f>MAX(H57+Assumptions!$C$7,1)</f>
        <v/>
      </c>
      <c r="K57" s="17">
        <f>I57*Assumptions!$C$8</f>
        <v/>
      </c>
      <c r="L57" s="10">
        <f>Assumptions!$C$6</f>
        <v/>
      </c>
      <c r="M57" s="12">
        <f>J57+L57</f>
        <v/>
      </c>
      <c r="N57" s="17">
        <f>SQRT(M57*G57^2+F57^2*K57^2)</f>
        <v/>
      </c>
      <c r="O57" s="18">
        <f>Assumptions!$C$12</f>
        <v/>
      </c>
      <c r="P57" s="17">
        <f>O57*N57</f>
        <v/>
      </c>
      <c r="Q57" s="17">
        <f>F57*M57+P57</f>
        <v/>
      </c>
      <c r="R57" s="12" t="n"/>
      <c r="S57" s="9" t="b">
        <v>0</v>
      </c>
      <c r="T57" s="17">
        <f>IF(AND(S57,ISNUMBER(R57)),IF(R57&gt;Q57,R57,Q57),Q57)</f>
        <v/>
      </c>
      <c r="U57" s="17">
        <f>T57-F57*M57</f>
        <v/>
      </c>
      <c r="V57" s="17" t="n">
        <v>109.1605135113952</v>
      </c>
      <c r="W57" s="9">
        <f>IF(ABS(T57-V57)&lt;0.01,"OK","CHECK")</f>
        <v/>
      </c>
    </row>
    <row r="58">
      <c r="A58" s="9" t="inlineStr">
        <is>
          <t>SYN_FOODS_3_005_CA_2</t>
        </is>
      </c>
      <c r="B58" s="9" t="inlineStr">
        <is>
          <t>SYN_FOODS_3_005</t>
        </is>
      </c>
      <c r="C58" s="9" t="inlineStr">
        <is>
          <t>CA_2</t>
        </is>
      </c>
      <c r="D58" s="9" t="inlineStr">
        <is>
          <t>FOODS</t>
        </is>
      </c>
      <c r="E58" s="9" t="inlineStr">
        <is>
          <t>smooth</t>
        </is>
      </c>
      <c r="F58" s="18" t="n">
        <v>18.80357142857143</v>
      </c>
      <c r="G58" s="18" t="n">
        <v>5.291333896808639</v>
      </c>
      <c r="H58" s="12" t="n">
        <v>3</v>
      </c>
      <c r="I58" s="12" t="n">
        <v>0.8</v>
      </c>
      <c r="J58" s="12">
        <f>MAX(H58+Assumptions!$C$7,1)</f>
        <v/>
      </c>
      <c r="K58" s="17">
        <f>I58*Assumptions!$C$8</f>
        <v/>
      </c>
      <c r="L58" s="10">
        <f>Assumptions!$C$6</f>
        <v/>
      </c>
      <c r="M58" s="12">
        <f>J58+L58</f>
        <v/>
      </c>
      <c r="N58" s="17">
        <f>SQRT(M58*G58^2+F58^2*K58^2)</f>
        <v/>
      </c>
      <c r="O58" s="18">
        <f>Assumptions!$C$12</f>
        <v/>
      </c>
      <c r="P58" s="17">
        <f>O58*N58</f>
        <v/>
      </c>
      <c r="Q58" s="17">
        <f>F58*M58+P58</f>
        <v/>
      </c>
      <c r="R58" s="12" t="n"/>
      <c r="S58" s="9" t="b">
        <v>0</v>
      </c>
      <c r="T58" s="17">
        <f>IF(AND(S58,ISNUMBER(R58)),IF(R58&gt;Q58,R58,Q58),Q58)</f>
        <v/>
      </c>
      <c r="U58" s="17">
        <f>T58-F58*M58</f>
        <v/>
      </c>
      <c r="V58" s="17" t="n">
        <v>225.0456407453174</v>
      </c>
      <c r="W58" s="9">
        <f>IF(ABS(T58-V58)&lt;0.01,"OK","CHECK")</f>
        <v/>
      </c>
    </row>
    <row r="59">
      <c r="A59" s="9" t="inlineStr">
        <is>
          <t>SYN_FOODS_3_007_CA_2</t>
        </is>
      </c>
      <c r="B59" s="9" t="inlineStr">
        <is>
          <t>SYN_FOODS_3_007</t>
        </is>
      </c>
      <c r="C59" s="9" t="inlineStr">
        <is>
          <t>CA_2</t>
        </is>
      </c>
      <c r="D59" s="9" t="inlineStr">
        <is>
          <t>FOODS</t>
        </is>
      </c>
      <c r="E59" s="9" t="inlineStr">
        <is>
          <t>smooth</t>
        </is>
      </c>
      <c r="F59" s="18" t="n">
        <v>22.20601270888291</v>
      </c>
      <c r="G59" s="18" t="n">
        <v>5.24750767731903</v>
      </c>
      <c r="H59" s="12" t="n">
        <v>3</v>
      </c>
      <c r="I59" s="12" t="n">
        <v>0.8</v>
      </c>
      <c r="J59" s="12">
        <f>MAX(H59+Assumptions!$C$7,1)</f>
        <v/>
      </c>
      <c r="K59" s="17">
        <f>I59*Assumptions!$C$8</f>
        <v/>
      </c>
      <c r="L59" s="10">
        <f>Assumptions!$C$6</f>
        <v/>
      </c>
      <c r="M59" s="12">
        <f>J59+L59</f>
        <v/>
      </c>
      <c r="N59" s="17">
        <f>SQRT(M59*G59^2+F59^2*K59^2)</f>
        <v/>
      </c>
      <c r="O59" s="18">
        <f>Assumptions!$C$12</f>
        <v/>
      </c>
      <c r="P59" s="17">
        <f>O59*N59</f>
        <v/>
      </c>
      <c r="Q59" s="17">
        <f>F59*M59+P59</f>
        <v/>
      </c>
      <c r="R59" s="12" t="n"/>
      <c r="S59" s="9" t="b">
        <v>0</v>
      </c>
      <c r="T59" s="17">
        <f>IF(AND(S59,ISNUMBER(R59)),IF(R59&gt;Q59,R59,Q59),Q59)</f>
        <v/>
      </c>
      <c r="U59" s="17">
        <f>T59-F59*M59</f>
        <v/>
      </c>
      <c r="V59" s="17" t="n">
        <v>262.0456982599906</v>
      </c>
      <c r="W59" s="9">
        <f>IF(ABS(T59-V59)&lt;0.01,"OK","CHECK")</f>
        <v/>
      </c>
    </row>
    <row r="60">
      <c r="A60" s="9" t="inlineStr">
        <is>
          <t>SYN_FOODS_3_008_CA_2</t>
        </is>
      </c>
      <c r="B60" s="9" t="inlineStr">
        <is>
          <t>SYN_FOODS_3_008</t>
        </is>
      </c>
      <c r="C60" s="9" t="inlineStr">
        <is>
          <t>CA_2</t>
        </is>
      </c>
      <c r="D60" s="9" t="inlineStr">
        <is>
          <t>FOODS</t>
        </is>
      </c>
      <c r="E60" s="9" t="inlineStr">
        <is>
          <t>intermittent</t>
        </is>
      </c>
      <c r="F60" s="18" t="n">
        <v>0.2678571428571428</v>
      </c>
      <c r="G60" s="18" t="n">
        <v>0.7931064601570569</v>
      </c>
      <c r="H60" s="12" t="n">
        <v>3</v>
      </c>
      <c r="I60" s="12" t="n">
        <v>0.8</v>
      </c>
      <c r="J60" s="12">
        <f>MAX(H60+Assumptions!$C$7,1)</f>
        <v/>
      </c>
      <c r="K60" s="17">
        <f>I60*Assumptions!$C$8</f>
        <v/>
      </c>
      <c r="L60" s="10">
        <f>Assumptions!$C$6</f>
        <v/>
      </c>
      <c r="M60" s="12">
        <f>J60+L60</f>
        <v/>
      </c>
      <c r="N60" s="17">
        <f>SQRT(M60*G60^2+F60^2*K60^2)</f>
        <v/>
      </c>
      <c r="O60" s="18">
        <f>Assumptions!$C$12</f>
        <v/>
      </c>
      <c r="P60" s="17">
        <f>O60*N60</f>
        <v/>
      </c>
      <c r="Q60" s="17">
        <f>F60*M60+P60</f>
        <v/>
      </c>
      <c r="R60" s="12" t="n">
        <v>9</v>
      </c>
      <c r="S60" s="9" t="b">
        <v>1</v>
      </c>
      <c r="T60" s="17">
        <f>IF(AND(S60,ISNUMBER(R60)),IF(R60&gt;Q60,R60,Q60),Q60)</f>
        <v/>
      </c>
      <c r="U60" s="17">
        <f>T60-F60*M60</f>
        <v/>
      </c>
      <c r="V60" s="17" t="n">
        <v>9</v>
      </c>
      <c r="W60" s="9">
        <f>IF(ABS(T60-V60)&lt;0.01,"OK","CHECK")</f>
        <v/>
      </c>
    </row>
    <row r="61">
      <c r="A61" s="9" t="inlineStr">
        <is>
          <t>SYN_HOBBIES_1_001_CA_2</t>
        </is>
      </c>
      <c r="B61" s="9" t="inlineStr">
        <is>
          <t>SYN_HOBBIES_1_001</t>
        </is>
      </c>
      <c r="C61" s="9" t="inlineStr">
        <is>
          <t>CA_2</t>
        </is>
      </c>
      <c r="D61" s="9" t="inlineStr">
        <is>
          <t>HOBBIES</t>
        </is>
      </c>
      <c r="E61" s="9" t="inlineStr">
        <is>
          <t>lumpy</t>
        </is>
      </c>
      <c r="F61" s="18" t="n">
        <v>1.263879537582398</v>
      </c>
      <c r="G61" s="18" t="n">
        <v>1.460000999350739</v>
      </c>
      <c r="H61" s="12" t="n">
        <v>14</v>
      </c>
      <c r="I61" s="12" t="n">
        <v>4</v>
      </c>
      <c r="J61" s="12">
        <f>MAX(H61+Assumptions!$C$7,1)</f>
        <v/>
      </c>
      <c r="K61" s="17">
        <f>I61*Assumptions!$C$8</f>
        <v/>
      </c>
      <c r="L61" s="10">
        <f>Assumptions!$C$6</f>
        <v/>
      </c>
      <c r="M61" s="12">
        <f>J61+L61</f>
        <v/>
      </c>
      <c r="N61" s="17">
        <f>SQRT(M61*G61^2+F61^2*K61^2)</f>
        <v/>
      </c>
      <c r="O61" s="18">
        <f>Assumptions!$C$12</f>
        <v/>
      </c>
      <c r="P61" s="17">
        <f>O61*N61</f>
        <v/>
      </c>
      <c r="Q61" s="17">
        <f>F61*M61+P61</f>
        <v/>
      </c>
      <c r="R61" s="12" t="n">
        <v>41</v>
      </c>
      <c r="S61" s="9" t="b">
        <v>1</v>
      </c>
      <c r="T61" s="17">
        <f>IF(AND(S61,ISNUMBER(R61)),IF(R61&gt;Q61,R61,Q61),Q61)</f>
        <v/>
      </c>
      <c r="U61" s="17">
        <f>T61-F61*M61</f>
        <v/>
      </c>
      <c r="V61" s="17" t="n">
        <v>41</v>
      </c>
      <c r="W61" s="9">
        <f>IF(ABS(T61-V61)&lt;0.01,"OK","CHECK")</f>
        <v/>
      </c>
    </row>
    <row r="62">
      <c r="A62" s="9" t="inlineStr">
        <is>
          <t>SYN_HOBBIES_1_002_CA_2</t>
        </is>
      </c>
      <c r="B62" s="9" t="inlineStr">
        <is>
          <t>SYN_HOBBIES_1_002</t>
        </is>
      </c>
      <c r="C62" s="9" t="inlineStr">
        <is>
          <t>CA_2</t>
        </is>
      </c>
      <c r="D62" s="9" t="inlineStr">
        <is>
          <t>HOBBIES</t>
        </is>
      </c>
      <c r="E62" s="9" t="inlineStr">
        <is>
          <t>intermittent</t>
        </is>
      </c>
      <c r="F62" s="18" t="n">
        <v>0.375</v>
      </c>
      <c r="G62" s="18" t="n">
        <v>0.8812459373573724</v>
      </c>
      <c r="H62" s="12" t="n">
        <v>14</v>
      </c>
      <c r="I62" s="12" t="n">
        <v>4</v>
      </c>
      <c r="J62" s="12">
        <f>MAX(H62+Assumptions!$C$7,1)</f>
        <v/>
      </c>
      <c r="K62" s="17">
        <f>I62*Assumptions!$C$8</f>
        <v/>
      </c>
      <c r="L62" s="10">
        <f>Assumptions!$C$6</f>
        <v/>
      </c>
      <c r="M62" s="12">
        <f>J62+L62</f>
        <v/>
      </c>
      <c r="N62" s="17">
        <f>SQRT(M62*G62^2+F62^2*K62^2)</f>
        <v/>
      </c>
      <c r="O62" s="18">
        <f>Assumptions!$C$12</f>
        <v/>
      </c>
      <c r="P62" s="17">
        <f>O62*N62</f>
        <v/>
      </c>
      <c r="Q62" s="17">
        <f>F62*M62+P62</f>
        <v/>
      </c>
      <c r="R62" s="12" t="n">
        <v>13</v>
      </c>
      <c r="S62" s="9" t="b">
        <v>1</v>
      </c>
      <c r="T62" s="17">
        <f>IF(AND(S62,ISNUMBER(R62)),IF(R62&gt;Q62,R62,Q62),Q62)</f>
        <v/>
      </c>
      <c r="U62" s="17">
        <f>T62-F62*M62</f>
        <v/>
      </c>
      <c r="V62" s="17" t="n">
        <v>14.96095657509309</v>
      </c>
      <c r="W62" s="9">
        <f>IF(ABS(T62-V62)&lt;0.01,"OK","CHECK")</f>
        <v/>
      </c>
    </row>
    <row r="63">
      <c r="A63" s="9" t="inlineStr">
        <is>
          <t>SYN_HOBBIES_1_003_CA_2</t>
        </is>
      </c>
      <c r="B63" s="9" t="inlineStr">
        <is>
          <t>SYN_HOBBIES_1_003</t>
        </is>
      </c>
      <c r="C63" s="9" t="inlineStr">
        <is>
          <t>CA_2</t>
        </is>
      </c>
      <c r="D63" s="9" t="inlineStr">
        <is>
          <t>HOBBIES</t>
        </is>
      </c>
      <c r="E63" s="9" t="inlineStr">
        <is>
          <t>lumpy</t>
        </is>
      </c>
      <c r="F63" s="18" t="n">
        <v>0</v>
      </c>
      <c r="G63" s="18" t="n">
        <v>2.763279624959133</v>
      </c>
      <c r="H63" s="12" t="n">
        <v>14</v>
      </c>
      <c r="I63" s="12" t="n">
        <v>4</v>
      </c>
      <c r="J63" s="12">
        <f>MAX(H63+Assumptions!$C$7,1)</f>
        <v/>
      </c>
      <c r="K63" s="17">
        <f>I63*Assumptions!$C$8</f>
        <v/>
      </c>
      <c r="L63" s="10">
        <f>Assumptions!$C$6</f>
        <v/>
      </c>
      <c r="M63" s="12">
        <f>J63+L63</f>
        <v/>
      </c>
      <c r="N63" s="17">
        <f>SQRT(M63*G63^2+F63^2*K63^2)</f>
        <v/>
      </c>
      <c r="O63" s="18">
        <f>Assumptions!$C$12</f>
        <v/>
      </c>
      <c r="P63" s="17">
        <f>O63*N63</f>
        <v/>
      </c>
      <c r="Q63" s="17">
        <f>F63*M63+P63</f>
        <v/>
      </c>
      <c r="R63" s="12" t="n">
        <v>32</v>
      </c>
      <c r="S63" s="9" t="b">
        <v>1</v>
      </c>
      <c r="T63" s="17">
        <f>IF(AND(S63,ISNUMBER(R63)),IF(R63&gt;Q63,R63,Q63),Q63)</f>
        <v/>
      </c>
      <c r="U63" s="17">
        <f>T63-F63*M63</f>
        <v/>
      </c>
      <c r="V63" s="17" t="n">
        <v>32</v>
      </c>
      <c r="W63" s="9">
        <f>IF(ABS(T63-V63)&lt;0.01,"OK","CHECK")</f>
        <v/>
      </c>
    </row>
    <row r="64">
      <c r="A64" s="9" t="inlineStr">
        <is>
          <t>SYN_HOBBIES_1_004_CA_2</t>
        </is>
      </c>
      <c r="B64" s="9" t="inlineStr">
        <is>
          <t>SYN_HOBBIES_1_004</t>
        </is>
      </c>
      <c r="C64" s="9" t="inlineStr">
        <is>
          <t>CA_2</t>
        </is>
      </c>
      <c r="D64" s="9" t="inlineStr">
        <is>
          <t>HOBBIES</t>
        </is>
      </c>
      <c r="E64" s="9" t="inlineStr">
        <is>
          <t>intermittent</t>
        </is>
      </c>
      <c r="F64" s="18" t="n">
        <v>0.9627875089645386</v>
      </c>
      <c r="G64" s="18" t="n">
        <v>1.12185755854383</v>
      </c>
      <c r="H64" s="12" t="n">
        <v>14</v>
      </c>
      <c r="I64" s="12" t="n">
        <v>4</v>
      </c>
      <c r="J64" s="12">
        <f>MAX(H64+Assumptions!$C$7,1)</f>
        <v/>
      </c>
      <c r="K64" s="17">
        <f>I64*Assumptions!$C$8</f>
        <v/>
      </c>
      <c r="L64" s="10">
        <f>Assumptions!$C$6</f>
        <v/>
      </c>
      <c r="M64" s="12">
        <f>J64+L64</f>
        <v/>
      </c>
      <c r="N64" s="17">
        <f>SQRT(M64*G64^2+F64^2*K64^2)</f>
        <v/>
      </c>
      <c r="O64" s="18">
        <f>Assumptions!$C$12</f>
        <v/>
      </c>
      <c r="P64" s="17">
        <f>O64*N64</f>
        <v/>
      </c>
      <c r="Q64" s="17">
        <f>F64*M64+P64</f>
        <v/>
      </c>
      <c r="R64" s="12" t="n">
        <v>24</v>
      </c>
      <c r="S64" s="9" t="b">
        <v>1</v>
      </c>
      <c r="T64" s="17">
        <f>IF(AND(S64,ISNUMBER(R64)),IF(R64&gt;Q64,R64,Q64),Q64)</f>
        <v/>
      </c>
      <c r="U64" s="17">
        <f>T64-F64*M64</f>
        <v/>
      </c>
      <c r="V64" s="17" t="n">
        <v>30.78423655893234</v>
      </c>
      <c r="W64" s="9">
        <f>IF(ABS(T64-V64)&lt;0.01,"OK","CHECK")</f>
        <v/>
      </c>
    </row>
    <row r="65">
      <c r="A65" s="9" t="inlineStr">
        <is>
          <t>SYN_HOBBIES_1_005_CA_2</t>
        </is>
      </c>
      <c r="B65" s="9" t="inlineStr">
        <is>
          <t>SYN_HOBBIES_1_005</t>
        </is>
      </c>
      <c r="C65" s="9" t="inlineStr">
        <is>
          <t>CA_2</t>
        </is>
      </c>
      <c r="D65" s="9" t="inlineStr">
        <is>
          <t>HOBBIES</t>
        </is>
      </c>
      <c r="E65" s="9" t="inlineStr">
        <is>
          <t>intermittent</t>
        </is>
      </c>
      <c r="F65" s="18" t="n">
        <v>0.9634143114089966</v>
      </c>
      <c r="G65" s="18" t="n">
        <v>1.112686199567889</v>
      </c>
      <c r="H65" s="12" t="n">
        <v>14</v>
      </c>
      <c r="I65" s="12" t="n">
        <v>4</v>
      </c>
      <c r="J65" s="12">
        <f>MAX(H65+Assumptions!$C$7,1)</f>
        <v/>
      </c>
      <c r="K65" s="17">
        <f>I65*Assumptions!$C$8</f>
        <v/>
      </c>
      <c r="L65" s="10">
        <f>Assumptions!$C$6</f>
        <v/>
      </c>
      <c r="M65" s="12">
        <f>J65+L65</f>
        <v/>
      </c>
      <c r="N65" s="17">
        <f>SQRT(M65*G65^2+F65^2*K65^2)</f>
        <v/>
      </c>
      <c r="O65" s="18">
        <f>Assumptions!$C$12</f>
        <v/>
      </c>
      <c r="P65" s="17">
        <f>O65*N65</f>
        <v/>
      </c>
      <c r="Q65" s="17">
        <f>F65*M65+P65</f>
        <v/>
      </c>
      <c r="R65" s="12" t="n">
        <v>29</v>
      </c>
      <c r="S65" s="9" t="b">
        <v>1</v>
      </c>
      <c r="T65" s="17">
        <f>IF(AND(S65,ISNUMBER(R65)),IF(R65&gt;Q65,R65,Q65),Q65)</f>
        <v/>
      </c>
      <c r="U65" s="17">
        <f>T65-F65*M65</f>
        <v/>
      </c>
      <c r="V65" s="17" t="n">
        <v>30.74463889122656</v>
      </c>
      <c r="W65" s="9">
        <f>IF(ABS(T65-V65)&lt;0.01,"OK","CHECK")</f>
        <v/>
      </c>
    </row>
    <row r="66">
      <c r="A66" s="9" t="inlineStr">
        <is>
          <t>SYN_HOBBIES_1_006_CA_2</t>
        </is>
      </c>
      <c r="B66" s="9" t="inlineStr">
        <is>
          <t>SYN_HOBBIES_1_006</t>
        </is>
      </c>
      <c r="C66" s="9" t="inlineStr">
        <is>
          <t>CA_2</t>
        </is>
      </c>
      <c r="D66" s="9" t="inlineStr">
        <is>
          <t>HOBBIES</t>
        </is>
      </c>
      <c r="E66" s="9" t="inlineStr">
        <is>
          <t>lumpy</t>
        </is>
      </c>
      <c r="F66" s="18" t="n">
        <v>0.569173276424408</v>
      </c>
      <c r="G66" s="18" t="n">
        <v>1.774150719410511</v>
      </c>
      <c r="H66" s="12" t="n">
        <v>14</v>
      </c>
      <c r="I66" s="12" t="n">
        <v>4</v>
      </c>
      <c r="J66" s="12">
        <f>MAX(H66+Assumptions!$C$7,1)</f>
        <v/>
      </c>
      <c r="K66" s="17">
        <f>I66*Assumptions!$C$8</f>
        <v/>
      </c>
      <c r="L66" s="10">
        <f>Assumptions!$C$6</f>
        <v/>
      </c>
      <c r="M66" s="12">
        <f>J66+L66</f>
        <v/>
      </c>
      <c r="N66" s="17">
        <f>SQRT(M66*G66^2+F66^2*K66^2)</f>
        <v/>
      </c>
      <c r="O66" s="18">
        <f>Assumptions!$C$12</f>
        <v/>
      </c>
      <c r="P66" s="17">
        <f>O66*N66</f>
        <v/>
      </c>
      <c r="Q66" s="17">
        <f>F66*M66+P66</f>
        <v/>
      </c>
      <c r="R66" s="12" t="n">
        <v>23</v>
      </c>
      <c r="S66" s="9" t="b">
        <v>1</v>
      </c>
      <c r="T66" s="17">
        <f>IF(AND(S66,ISNUMBER(R66)),IF(R66&gt;Q66,R66,Q66),Q66)</f>
        <v/>
      </c>
      <c r="U66" s="17">
        <f>T66-F66*M66</f>
        <v/>
      </c>
      <c r="V66" s="17" t="n">
        <v>25.84003166617183</v>
      </c>
      <c r="W66" s="9">
        <f>IF(ABS(T66-V66)&lt;0.01,"OK","CHECK")</f>
        <v/>
      </c>
    </row>
    <row r="67">
      <c r="A67" s="9" t="inlineStr">
        <is>
          <t>SYN_HOBBIES_1_008_CA_2</t>
        </is>
      </c>
      <c r="B67" s="9" t="inlineStr">
        <is>
          <t>SYN_HOBBIES_1_008</t>
        </is>
      </c>
      <c r="C67" s="9" t="inlineStr">
        <is>
          <t>CA_2</t>
        </is>
      </c>
      <c r="D67" s="9" t="inlineStr">
        <is>
          <t>HOBBIES</t>
        </is>
      </c>
      <c r="E67" s="9" t="inlineStr">
        <is>
          <t>lumpy</t>
        </is>
      </c>
      <c r="F67" s="18" t="n">
        <v>0.5714285714285714</v>
      </c>
      <c r="G67" s="18" t="n">
        <v>1.468113463890698</v>
      </c>
      <c r="H67" s="12" t="n">
        <v>14</v>
      </c>
      <c r="I67" s="12" t="n">
        <v>4</v>
      </c>
      <c r="J67" s="12">
        <f>MAX(H67+Assumptions!$C$7,1)</f>
        <v/>
      </c>
      <c r="K67" s="17">
        <f>I67*Assumptions!$C$8</f>
        <v/>
      </c>
      <c r="L67" s="10">
        <f>Assumptions!$C$6</f>
        <v/>
      </c>
      <c r="M67" s="12">
        <f>J67+L67</f>
        <v/>
      </c>
      <c r="N67" s="17">
        <f>SQRT(M67*G67^2+F67^2*K67^2)</f>
        <v/>
      </c>
      <c r="O67" s="18">
        <f>Assumptions!$C$12</f>
        <v/>
      </c>
      <c r="P67" s="17">
        <f>O67*N67</f>
        <v/>
      </c>
      <c r="Q67" s="17">
        <f>F67*M67+P67</f>
        <v/>
      </c>
      <c r="R67" s="12" t="n">
        <v>23</v>
      </c>
      <c r="S67" s="9" t="b">
        <v>1</v>
      </c>
      <c r="T67" s="17">
        <f>IF(AND(S67,ISNUMBER(R67)),IF(R67&gt;Q67,R67,Q67),Q67)</f>
        <v/>
      </c>
      <c r="U67" s="17">
        <f>T67-F67*M67</f>
        <v/>
      </c>
      <c r="V67" s="17" t="n">
        <v>23.6873754306696</v>
      </c>
      <c r="W67" s="9">
        <f>IF(ABS(T67-V67)&lt;0.01,"OK","CHECK")</f>
        <v/>
      </c>
    </row>
    <row r="68">
      <c r="A68" s="9" t="inlineStr">
        <is>
          <t>SYN_HOBBIES_1_009_CA_2</t>
        </is>
      </c>
      <c r="B68" s="9" t="inlineStr">
        <is>
          <t>SYN_HOBBIES_1_009</t>
        </is>
      </c>
      <c r="C68" s="9" t="inlineStr">
        <is>
          <t>CA_2</t>
        </is>
      </c>
      <c r="D68" s="9" t="inlineStr">
        <is>
          <t>HOBBIES</t>
        </is>
      </c>
      <c r="E68" s="9" t="inlineStr">
        <is>
          <t>smooth</t>
        </is>
      </c>
      <c r="F68" s="18" t="n">
        <v>3.071428571428572</v>
      </c>
      <c r="G68" s="18" t="n">
        <v>1.582429019403985</v>
      </c>
      <c r="H68" s="12" t="n">
        <v>14</v>
      </c>
      <c r="I68" s="12" t="n">
        <v>4</v>
      </c>
      <c r="J68" s="12">
        <f>MAX(H68+Assumptions!$C$7,1)</f>
        <v/>
      </c>
      <c r="K68" s="17">
        <f>I68*Assumptions!$C$8</f>
        <v/>
      </c>
      <c r="L68" s="10">
        <f>Assumptions!$C$6</f>
        <v/>
      </c>
      <c r="M68" s="12">
        <f>J68+L68</f>
        <v/>
      </c>
      <c r="N68" s="17">
        <f>SQRT(M68*G68^2+F68^2*K68^2)</f>
        <v/>
      </c>
      <c r="O68" s="18">
        <f>Assumptions!$C$12</f>
        <v/>
      </c>
      <c r="P68" s="17">
        <f>O68*N68</f>
        <v/>
      </c>
      <c r="Q68" s="17">
        <f>F68*M68+P68</f>
        <v/>
      </c>
      <c r="R68" s="12" t="n"/>
      <c r="S68" s="9" t="b">
        <v>0</v>
      </c>
      <c r="T68" s="17">
        <f>IF(AND(S68,ISNUMBER(R68)),IF(R68&gt;Q68,R68,Q68),Q68)</f>
        <v/>
      </c>
      <c r="U68" s="17">
        <f>T68-F68*M68</f>
        <v/>
      </c>
      <c r="V68" s="17" t="n">
        <v>87.96581232614056</v>
      </c>
      <c r="W68" s="9">
        <f>IF(ABS(T68-V68)&lt;0.01,"OK","CHECK")</f>
        <v/>
      </c>
    </row>
    <row r="69">
      <c r="A69" s="9" t="inlineStr">
        <is>
          <t>SYN_HOBBIES_2_001_CA_2</t>
        </is>
      </c>
      <c r="B69" s="9" t="inlineStr">
        <is>
          <t>SYN_HOBBIES_2_001</t>
        </is>
      </c>
      <c r="C69" s="9" t="inlineStr">
        <is>
          <t>CA_2</t>
        </is>
      </c>
      <c r="D69" s="9" t="inlineStr">
        <is>
          <t>HOBBIES</t>
        </is>
      </c>
      <c r="E69" s="9" t="inlineStr">
        <is>
          <t>erratic</t>
        </is>
      </c>
      <c r="F69" s="18" t="n">
        <v>4.262877464294434</v>
      </c>
      <c r="G69" s="18" t="n">
        <v>4.289306762599184</v>
      </c>
      <c r="H69" s="12" t="n">
        <v>14</v>
      </c>
      <c r="I69" s="12" t="n">
        <v>4</v>
      </c>
      <c r="J69" s="12">
        <f>MAX(H69+Assumptions!$C$7,1)</f>
        <v/>
      </c>
      <c r="K69" s="17">
        <f>I69*Assumptions!$C$8</f>
        <v/>
      </c>
      <c r="L69" s="10">
        <f>Assumptions!$C$6</f>
        <v/>
      </c>
      <c r="M69" s="12">
        <f>J69+L69</f>
        <v/>
      </c>
      <c r="N69" s="17">
        <f>SQRT(M69*G69^2+F69^2*K69^2)</f>
        <v/>
      </c>
      <c r="O69" s="18">
        <f>Assumptions!$C$12</f>
        <v/>
      </c>
      <c r="P69" s="17">
        <f>O69*N69</f>
        <v/>
      </c>
      <c r="Q69" s="17">
        <f>F69*M69+P69</f>
        <v/>
      </c>
      <c r="R69" s="12" t="n"/>
      <c r="S69" s="9" t="b">
        <v>0</v>
      </c>
      <c r="T69" s="17">
        <f>IF(AND(S69,ISNUMBER(R69)),IF(R69&gt;Q69,R69,Q69),Q69)</f>
        <v/>
      </c>
      <c r="U69" s="17">
        <f>T69-F69*M69</f>
        <v/>
      </c>
      <c r="V69" s="17" t="n">
        <v>132.3218819660223</v>
      </c>
      <c r="W69" s="9">
        <f>IF(ABS(T69-V69)&lt;0.01,"OK","CHECK")</f>
        <v/>
      </c>
    </row>
    <row r="70">
      <c r="A70" s="9" t="inlineStr">
        <is>
          <t>SYN_HOBBIES_2_004_CA_2</t>
        </is>
      </c>
      <c r="B70" s="9" t="inlineStr">
        <is>
          <t>SYN_HOBBIES_2_004</t>
        </is>
      </c>
      <c r="C70" s="9" t="inlineStr">
        <is>
          <t>CA_2</t>
        </is>
      </c>
      <c r="D70" s="9" t="inlineStr">
        <is>
          <t>HOBBIES</t>
        </is>
      </c>
      <c r="E70" s="9" t="inlineStr">
        <is>
          <t>smooth</t>
        </is>
      </c>
      <c r="F70" s="18" t="n">
        <v>15.46289753984576</v>
      </c>
      <c r="G70" s="18" t="n">
        <v>4.649068145938148</v>
      </c>
      <c r="H70" s="12" t="n">
        <v>14</v>
      </c>
      <c r="I70" s="12" t="n">
        <v>4</v>
      </c>
      <c r="J70" s="12">
        <f>MAX(H70+Assumptions!$C$7,1)</f>
        <v/>
      </c>
      <c r="K70" s="17">
        <f>I70*Assumptions!$C$8</f>
        <v/>
      </c>
      <c r="L70" s="10">
        <f>Assumptions!$C$6</f>
        <v/>
      </c>
      <c r="M70" s="12">
        <f>J70+L70</f>
        <v/>
      </c>
      <c r="N70" s="17">
        <f>SQRT(M70*G70^2+F70^2*K70^2)</f>
        <v/>
      </c>
      <c r="O70" s="18">
        <f>Assumptions!$C$12</f>
        <v/>
      </c>
      <c r="P70" s="17">
        <f>O70*N70</f>
        <v/>
      </c>
      <c r="Q70" s="17">
        <f>F70*M70+P70</f>
        <v/>
      </c>
      <c r="R70" s="12" t="n"/>
      <c r="S70" s="9" t="b">
        <v>0</v>
      </c>
      <c r="T70" s="17">
        <f>IF(AND(S70,ISNUMBER(R70)),IF(R70&gt;Q70,R70,Q70),Q70)</f>
        <v/>
      </c>
      <c r="U70" s="17">
        <f>T70-F70*M70</f>
        <v/>
      </c>
      <c r="V70" s="17" t="n">
        <v>432.323820031742</v>
      </c>
      <c r="W70" s="9">
        <f>IF(ABS(T70-V70)&lt;0.01,"OK","CHECK")</f>
        <v/>
      </c>
    </row>
    <row r="71">
      <c r="A71" s="9" t="inlineStr">
        <is>
          <t>SYN_HOBBIES_2_006_CA_2</t>
        </is>
      </c>
      <c r="B71" s="9" t="inlineStr">
        <is>
          <t>SYN_HOBBIES_2_006</t>
        </is>
      </c>
      <c r="C71" s="9" t="inlineStr">
        <is>
          <t>CA_2</t>
        </is>
      </c>
      <c r="D71" s="9" t="inlineStr">
        <is>
          <t>HOBBIES</t>
        </is>
      </c>
      <c r="E71" s="9" t="inlineStr">
        <is>
          <t>smooth</t>
        </is>
      </c>
      <c r="F71" s="18" t="n">
        <v>10.8393611907959</v>
      </c>
      <c r="G71" s="18" t="n">
        <v>3.510309600790994</v>
      </c>
      <c r="H71" s="12" t="n">
        <v>14</v>
      </c>
      <c r="I71" s="12" t="n">
        <v>4</v>
      </c>
      <c r="J71" s="12">
        <f>MAX(H71+Assumptions!$C$7,1)</f>
        <v/>
      </c>
      <c r="K71" s="17">
        <f>I71*Assumptions!$C$8</f>
        <v/>
      </c>
      <c r="L71" s="10">
        <f>Assumptions!$C$6</f>
        <v/>
      </c>
      <c r="M71" s="12">
        <f>J71+L71</f>
        <v/>
      </c>
      <c r="N71" s="17">
        <f>SQRT(M71*G71^2+F71^2*K71^2)</f>
        <v/>
      </c>
      <c r="O71" s="18">
        <f>Assumptions!$C$12</f>
        <v/>
      </c>
      <c r="P71" s="17">
        <f>O71*N71</f>
        <v/>
      </c>
      <c r="Q71" s="17">
        <f>F71*M71+P71</f>
        <v/>
      </c>
      <c r="R71" s="12" t="n"/>
      <c r="S71" s="9" t="b">
        <v>0</v>
      </c>
      <c r="T71" s="17">
        <f>IF(AND(S71,ISNUMBER(R71)),IF(R71&gt;Q71,R71,Q71),Q71)</f>
        <v/>
      </c>
      <c r="U71" s="17">
        <f>T71-F71*M71</f>
        <v/>
      </c>
      <c r="V71" s="17" t="n">
        <v>303.6934764096624</v>
      </c>
      <c r="W71" s="9">
        <f>IF(ABS(T71-V71)&lt;0.01,"OK","CHECK")</f>
        <v/>
      </c>
    </row>
    <row r="72">
      <c r="A72" s="9" t="inlineStr">
        <is>
          <t>SYN_HOBBIES_2_009_CA_2</t>
        </is>
      </c>
      <c r="B72" s="9" t="inlineStr">
        <is>
          <t>SYN_HOBBIES_2_009</t>
        </is>
      </c>
      <c r="C72" s="9" t="inlineStr">
        <is>
          <t>CA_2</t>
        </is>
      </c>
      <c r="D72" s="9" t="inlineStr">
        <is>
          <t>HOBBIES</t>
        </is>
      </c>
      <c r="E72" s="9" t="inlineStr">
        <is>
          <t>smooth</t>
        </is>
      </c>
      <c r="F72" s="18" t="n">
        <v>25.98354456345601</v>
      </c>
      <c r="G72" s="18" t="n">
        <v>6.118518756889928</v>
      </c>
      <c r="H72" s="12" t="n">
        <v>14</v>
      </c>
      <c r="I72" s="12" t="n">
        <v>4</v>
      </c>
      <c r="J72" s="12">
        <f>MAX(H72+Assumptions!$C$7,1)</f>
        <v/>
      </c>
      <c r="K72" s="17">
        <f>I72*Assumptions!$C$8</f>
        <v/>
      </c>
      <c r="L72" s="10">
        <f>Assumptions!$C$6</f>
        <v/>
      </c>
      <c r="M72" s="12">
        <f>J72+L72</f>
        <v/>
      </c>
      <c r="N72" s="17">
        <f>SQRT(M72*G72^2+F72^2*K72^2)</f>
        <v/>
      </c>
      <c r="O72" s="18">
        <f>Assumptions!$C$12</f>
        <v/>
      </c>
      <c r="P72" s="17">
        <f>O72*N72</f>
        <v/>
      </c>
      <c r="Q72" s="17">
        <f>F72*M72+P72</f>
        <v/>
      </c>
      <c r="R72" s="12" t="n"/>
      <c r="S72" s="9" t="b">
        <v>0</v>
      </c>
      <c r="T72" s="17">
        <f>IF(AND(S72,ISNUMBER(R72)),IF(R72&gt;Q72,R72,Q72),Q72)</f>
        <v/>
      </c>
      <c r="U72" s="17">
        <f>T72-F72*M72</f>
        <v/>
      </c>
      <c r="V72" s="17" t="n">
        <v>722.7225665774572</v>
      </c>
      <c r="W72" s="9">
        <f>IF(ABS(T72-V72)&lt;0.01,"OK","CHECK")</f>
        <v/>
      </c>
    </row>
    <row r="73">
      <c r="A73" s="9" t="inlineStr">
        <is>
          <t>SYN_HOUSEHOLD_1_002_CA_2</t>
        </is>
      </c>
      <c r="B73" s="9" t="inlineStr">
        <is>
          <t>SYN_HOUSEHOLD_1_002</t>
        </is>
      </c>
      <c r="C73" s="9" t="inlineStr">
        <is>
          <t>CA_2</t>
        </is>
      </c>
      <c r="D73" s="9" t="inlineStr">
        <is>
          <t>HOUSEHOLD</t>
        </is>
      </c>
      <c r="E73" s="9" t="inlineStr">
        <is>
          <t>smooth</t>
        </is>
      </c>
      <c r="F73" s="18" t="n">
        <v>22.93032583296602</v>
      </c>
      <c r="G73" s="18" t="n">
        <v>6.168484247048837</v>
      </c>
      <c r="H73" s="12" t="n">
        <v>7</v>
      </c>
      <c r="I73" s="12" t="n">
        <v>2</v>
      </c>
      <c r="J73" s="12">
        <f>MAX(H73+Assumptions!$C$7,1)</f>
        <v/>
      </c>
      <c r="K73" s="17">
        <f>I73*Assumptions!$C$8</f>
        <v/>
      </c>
      <c r="L73" s="10">
        <f>Assumptions!$C$6</f>
        <v/>
      </c>
      <c r="M73" s="12">
        <f>J73+L73</f>
        <v/>
      </c>
      <c r="N73" s="17">
        <f>SQRT(M73*G73^2+F73^2*K73^2)</f>
        <v/>
      </c>
      <c r="O73" s="18">
        <f>Assumptions!$C$12</f>
        <v/>
      </c>
      <c r="P73" s="17">
        <f>O73*N73</f>
        <v/>
      </c>
      <c r="Q73" s="17">
        <f>F73*M73+P73</f>
        <v/>
      </c>
      <c r="R73" s="12" t="n"/>
      <c r="S73" s="9" t="b">
        <v>0</v>
      </c>
      <c r="T73" s="17">
        <f>IF(AND(S73,ISNUMBER(R73)),IF(R73&gt;Q73,R73,Q73),Q73)</f>
        <v/>
      </c>
      <c r="U73" s="17">
        <f>T73-F73*M73</f>
        <v/>
      </c>
      <c r="V73" s="17" t="n">
        <v>405.4730534770446</v>
      </c>
      <c r="W73" s="9">
        <f>IF(ABS(T73-V73)&lt;0.01,"OK","CHECK")</f>
        <v/>
      </c>
    </row>
    <row r="74">
      <c r="A74" s="9" t="inlineStr">
        <is>
          <t>SYN_HOUSEHOLD_1_004_CA_2</t>
        </is>
      </c>
      <c r="B74" s="9" t="inlineStr">
        <is>
          <t>SYN_HOUSEHOLD_1_004</t>
        </is>
      </c>
      <c r="C74" s="9" t="inlineStr">
        <is>
          <t>CA_2</t>
        </is>
      </c>
      <c r="D74" s="9" t="inlineStr">
        <is>
          <t>HOUSEHOLD</t>
        </is>
      </c>
      <c r="E74" s="9" t="inlineStr">
        <is>
          <t>intermittent</t>
        </is>
      </c>
      <c r="F74" s="18" t="n">
        <v>1.303571428571429</v>
      </c>
      <c r="G74" s="18" t="n">
        <v>1.4184687381162</v>
      </c>
      <c r="H74" s="12" t="n">
        <v>7</v>
      </c>
      <c r="I74" s="12" t="n">
        <v>2</v>
      </c>
      <c r="J74" s="12">
        <f>MAX(H74+Assumptions!$C$7,1)</f>
        <v/>
      </c>
      <c r="K74" s="17">
        <f>I74*Assumptions!$C$8</f>
        <v/>
      </c>
      <c r="L74" s="10">
        <f>Assumptions!$C$6</f>
        <v/>
      </c>
      <c r="M74" s="12">
        <f>J74+L74</f>
        <v/>
      </c>
      <c r="N74" s="17">
        <f>SQRT(M74*G74^2+F74^2*K74^2)</f>
        <v/>
      </c>
      <c r="O74" s="18">
        <f>Assumptions!$C$12</f>
        <v/>
      </c>
      <c r="P74" s="17">
        <f>O74*N74</f>
        <v/>
      </c>
      <c r="Q74" s="17">
        <f>F74*M74+P74</f>
        <v/>
      </c>
      <c r="R74" s="12" t="n">
        <v>29</v>
      </c>
      <c r="S74" s="9" t="b">
        <v>1</v>
      </c>
      <c r="T74" s="17">
        <f>IF(AND(S74,ISNUMBER(R74)),IF(R74&gt;Q74,R74,Q74),Q74)</f>
        <v/>
      </c>
      <c r="U74" s="17">
        <f>T74-F74*M74</f>
        <v/>
      </c>
      <c r="V74" s="17" t="n">
        <v>29</v>
      </c>
      <c r="W74" s="9">
        <f>IF(ABS(T74-V74)&lt;0.01,"OK","CHECK")</f>
        <v/>
      </c>
    </row>
    <row r="75">
      <c r="A75" s="9" t="inlineStr">
        <is>
          <t>SYN_HOUSEHOLD_1_006_CA_2</t>
        </is>
      </c>
      <c r="B75" s="9" t="inlineStr">
        <is>
          <t>SYN_HOUSEHOLD_1_006</t>
        </is>
      </c>
      <c r="C75" s="9" t="inlineStr">
        <is>
          <t>CA_2</t>
        </is>
      </c>
      <c r="D75" s="9" t="inlineStr">
        <is>
          <t>HOUSEHOLD</t>
        </is>
      </c>
      <c r="E75" s="9" t="inlineStr">
        <is>
          <t>intermittent</t>
        </is>
      </c>
      <c r="F75" s="18" t="n">
        <v>0.2237527519464492</v>
      </c>
      <c r="G75" s="18" t="n">
        <v>0.5815038278661376</v>
      </c>
      <c r="H75" s="12" t="n">
        <v>7</v>
      </c>
      <c r="I75" s="12" t="n">
        <v>2</v>
      </c>
      <c r="J75" s="12">
        <f>MAX(H75+Assumptions!$C$7,1)</f>
        <v/>
      </c>
      <c r="K75" s="17">
        <f>I75*Assumptions!$C$8</f>
        <v/>
      </c>
      <c r="L75" s="10">
        <f>Assumptions!$C$6</f>
        <v/>
      </c>
      <c r="M75" s="12">
        <f>J75+L75</f>
        <v/>
      </c>
      <c r="N75" s="17">
        <f>SQRT(M75*G75^2+F75^2*K75^2)</f>
        <v/>
      </c>
      <c r="O75" s="18">
        <f>Assumptions!$C$12</f>
        <v/>
      </c>
      <c r="P75" s="17">
        <f>O75*N75</f>
        <v/>
      </c>
      <c r="Q75" s="17">
        <f>F75*M75+P75</f>
        <v/>
      </c>
      <c r="R75" s="12" t="n">
        <v>7</v>
      </c>
      <c r="S75" s="9" t="b">
        <v>1</v>
      </c>
      <c r="T75" s="17">
        <f>IF(AND(S75,ISNUMBER(R75)),IF(R75&gt;Q75,R75,Q75),Q75)</f>
        <v/>
      </c>
      <c r="U75" s="17">
        <f>T75-F75*M75</f>
        <v/>
      </c>
      <c r="V75" s="17" t="n">
        <v>7</v>
      </c>
      <c r="W75" s="9">
        <f>IF(ABS(T75-V75)&lt;0.01,"OK","CHECK")</f>
        <v/>
      </c>
    </row>
    <row r="76">
      <c r="A76" s="9" t="inlineStr">
        <is>
          <t>SYN_HOUSEHOLD_1_008_CA_2</t>
        </is>
      </c>
      <c r="B76" s="9" t="inlineStr">
        <is>
          <t>SYN_HOUSEHOLD_1_008</t>
        </is>
      </c>
      <c r="C76" s="9" t="inlineStr">
        <is>
          <t>CA_2</t>
        </is>
      </c>
      <c r="D76" s="9" t="inlineStr">
        <is>
          <t>HOUSEHOLD</t>
        </is>
      </c>
      <c r="E76" s="9" t="inlineStr">
        <is>
          <t>smooth</t>
        </is>
      </c>
      <c r="F76" s="18" t="n">
        <v>14.52514654107</v>
      </c>
      <c r="G76" s="18" t="n">
        <v>4.762477917533857</v>
      </c>
      <c r="H76" s="12" t="n">
        <v>7</v>
      </c>
      <c r="I76" s="12" t="n">
        <v>2</v>
      </c>
      <c r="J76" s="12">
        <f>MAX(H76+Assumptions!$C$7,1)</f>
        <v/>
      </c>
      <c r="K76" s="17">
        <f>I76*Assumptions!$C$8</f>
        <v/>
      </c>
      <c r="L76" s="10">
        <f>Assumptions!$C$6</f>
        <v/>
      </c>
      <c r="M76" s="12">
        <f>J76+L76</f>
        <v/>
      </c>
      <c r="N76" s="17">
        <f>SQRT(M76*G76^2+F76^2*K76^2)</f>
        <v/>
      </c>
      <c r="O76" s="18">
        <f>Assumptions!$C$12</f>
        <v/>
      </c>
      <c r="P76" s="17">
        <f>O76*N76</f>
        <v/>
      </c>
      <c r="Q76" s="17">
        <f>F76*M76+P76</f>
        <v/>
      </c>
      <c r="R76" s="12" t="n"/>
      <c r="S76" s="9" t="b">
        <v>0</v>
      </c>
      <c r="T76" s="17">
        <f>IF(AND(S76,ISNUMBER(R76)),IF(R76&gt;Q76,R76,Q76),Q76)</f>
        <v/>
      </c>
      <c r="U76" s="17">
        <f>T76-F76*M76</f>
        <v/>
      </c>
      <c r="V76" s="17" t="n">
        <v>259.4089013276252</v>
      </c>
      <c r="W76" s="9">
        <f>IF(ABS(T76-V76)&lt;0.01,"OK","CHECK")</f>
        <v/>
      </c>
    </row>
    <row r="77">
      <c r="A77" s="9" t="inlineStr">
        <is>
          <t>SYN_HOUSEHOLD_1_009_CA_2</t>
        </is>
      </c>
      <c r="B77" s="9" t="inlineStr">
        <is>
          <t>SYN_HOUSEHOLD_1_009</t>
        </is>
      </c>
      <c r="C77" s="9" t="inlineStr">
        <is>
          <t>CA_2</t>
        </is>
      </c>
      <c r="D77" s="9" t="inlineStr">
        <is>
          <t>HOUSEHOLD</t>
        </is>
      </c>
      <c r="E77" s="9" t="inlineStr">
        <is>
          <t>smooth</t>
        </is>
      </c>
      <c r="F77" s="18" t="n">
        <v>11.05357142857143</v>
      </c>
      <c r="G77" s="18" t="n">
        <v>4.241640939205351</v>
      </c>
      <c r="H77" s="12" t="n">
        <v>7</v>
      </c>
      <c r="I77" s="12" t="n">
        <v>2</v>
      </c>
      <c r="J77" s="12">
        <f>MAX(H77+Assumptions!$C$7,1)</f>
        <v/>
      </c>
      <c r="K77" s="17">
        <f>I77*Assumptions!$C$8</f>
        <v/>
      </c>
      <c r="L77" s="10">
        <f>Assumptions!$C$6</f>
        <v/>
      </c>
      <c r="M77" s="12">
        <f>J77+L77</f>
        <v/>
      </c>
      <c r="N77" s="17">
        <f>SQRT(M77*G77^2+F77^2*K77^2)</f>
        <v/>
      </c>
      <c r="O77" s="18">
        <f>Assumptions!$C$12</f>
        <v/>
      </c>
      <c r="P77" s="17">
        <f>O77*N77</f>
        <v/>
      </c>
      <c r="Q77" s="17">
        <f>F77*M77+P77</f>
        <v/>
      </c>
      <c r="R77" s="12" t="n"/>
      <c r="S77" s="9" t="b">
        <v>0</v>
      </c>
      <c r="T77" s="17">
        <f>IF(AND(S77,ISNUMBER(R77)),IF(R77&gt;Q77,R77,Q77),Q77)</f>
        <v/>
      </c>
      <c r="U77" s="17">
        <f>T77-F77*M77</f>
        <v/>
      </c>
      <c r="V77" s="17" t="n">
        <v>199.5132042853261</v>
      </c>
      <c r="W77" s="9">
        <f>IF(ABS(T77-V77)&lt;0.01,"OK","CHECK")</f>
        <v/>
      </c>
    </row>
    <row r="78">
      <c r="A78" s="9" t="inlineStr">
        <is>
          <t>SYN_HOUSEHOLD_2_001_CA_2</t>
        </is>
      </c>
      <c r="B78" s="9" t="inlineStr">
        <is>
          <t>SYN_HOUSEHOLD_2_001</t>
        </is>
      </c>
      <c r="C78" s="9" t="inlineStr">
        <is>
          <t>CA_2</t>
        </is>
      </c>
      <c r="D78" s="9" t="inlineStr">
        <is>
          <t>HOUSEHOLD</t>
        </is>
      </c>
      <c r="E78" s="9" t="inlineStr">
        <is>
          <t>smooth</t>
        </is>
      </c>
      <c r="F78" s="18" t="n">
        <v>13.05357142857143</v>
      </c>
      <c r="G78" s="18" t="n">
        <v>4.239151849942149</v>
      </c>
      <c r="H78" s="12" t="n">
        <v>10</v>
      </c>
      <c r="I78" s="12" t="n">
        <v>3.5</v>
      </c>
      <c r="J78" s="12">
        <f>MAX(H78+Assumptions!$C$7,1)</f>
        <v/>
      </c>
      <c r="K78" s="17">
        <f>I78*Assumptions!$C$8</f>
        <v/>
      </c>
      <c r="L78" s="10">
        <f>Assumptions!$C$6</f>
        <v/>
      </c>
      <c r="M78" s="12">
        <f>J78+L78</f>
        <v/>
      </c>
      <c r="N78" s="17">
        <f>SQRT(M78*G78^2+F78^2*K78^2)</f>
        <v/>
      </c>
      <c r="O78" s="18">
        <f>Assumptions!$C$12</f>
        <v/>
      </c>
      <c r="P78" s="17">
        <f>O78*N78</f>
        <v/>
      </c>
      <c r="Q78" s="17">
        <f>F78*M78+P78</f>
        <v/>
      </c>
      <c r="R78" s="12" t="n"/>
      <c r="S78" s="9" t="b">
        <v>0</v>
      </c>
      <c r="T78" s="17">
        <f>IF(AND(S78,ISNUMBER(R78)),IF(R78&gt;Q78,R78,Q78),Q78)</f>
        <v/>
      </c>
      <c r="U78" s="17">
        <f>T78-F78*M78</f>
        <v/>
      </c>
      <c r="V78" s="17" t="n">
        <v>302.3715434365136</v>
      </c>
      <c r="W78" s="9">
        <f>IF(ABS(T78-V78)&lt;0.01,"OK","CHECK")</f>
        <v/>
      </c>
    </row>
    <row r="79">
      <c r="A79" s="9" t="inlineStr">
        <is>
          <t>SYN_HOUSEHOLD_2_002_CA_2</t>
        </is>
      </c>
      <c r="B79" s="9" t="inlineStr">
        <is>
          <t>SYN_HOUSEHOLD_2_002</t>
        </is>
      </c>
      <c r="C79" s="9" t="inlineStr">
        <is>
          <t>CA_2</t>
        </is>
      </c>
      <c r="D79" s="9" t="inlineStr">
        <is>
          <t>HOUSEHOLD</t>
        </is>
      </c>
      <c r="E79" s="9" t="inlineStr">
        <is>
          <t>intermittent</t>
        </is>
      </c>
      <c r="F79" s="18" t="n">
        <v>0.5714285714285714</v>
      </c>
      <c r="G79" s="18" t="n">
        <v>1.186230524452502</v>
      </c>
      <c r="H79" s="12" t="n">
        <v>10</v>
      </c>
      <c r="I79" s="12" t="n">
        <v>3.5</v>
      </c>
      <c r="J79" s="12">
        <f>MAX(H79+Assumptions!$C$7,1)</f>
        <v/>
      </c>
      <c r="K79" s="17">
        <f>I79*Assumptions!$C$8</f>
        <v/>
      </c>
      <c r="L79" s="10">
        <f>Assumptions!$C$6</f>
        <v/>
      </c>
      <c r="M79" s="12">
        <f>J79+L79</f>
        <v/>
      </c>
      <c r="N79" s="17">
        <f>SQRT(M79*G79^2+F79^2*K79^2)</f>
        <v/>
      </c>
      <c r="O79" s="18">
        <f>Assumptions!$C$12</f>
        <v/>
      </c>
      <c r="P79" s="17">
        <f>O79*N79</f>
        <v/>
      </c>
      <c r="Q79" s="17">
        <f>F79*M79+P79</f>
        <v/>
      </c>
      <c r="R79" s="12" t="n">
        <v>12</v>
      </c>
      <c r="S79" s="9" t="b">
        <v>1</v>
      </c>
      <c r="T79" s="17">
        <f>IF(AND(S79,ISNUMBER(R79)),IF(R79&gt;Q79,R79,Q79),Q79)</f>
        <v/>
      </c>
      <c r="U79" s="17">
        <f>T79-F79*M79</f>
        <v/>
      </c>
      <c r="V79" s="17" t="n">
        <v>18.40581251534044</v>
      </c>
      <c r="W79" s="9">
        <f>IF(ABS(T79-V79)&lt;0.01,"OK","CHECK")</f>
        <v/>
      </c>
    </row>
    <row r="80">
      <c r="A80" s="9" t="inlineStr">
        <is>
          <t>SYN_HOUSEHOLD_2_003_CA_2</t>
        </is>
      </c>
      <c r="B80" s="9" t="inlineStr">
        <is>
          <t>SYN_HOUSEHOLD_2_003</t>
        </is>
      </c>
      <c r="C80" s="9" t="inlineStr">
        <is>
          <t>CA_2</t>
        </is>
      </c>
      <c r="D80" s="9" t="inlineStr">
        <is>
          <t>HOUSEHOLD</t>
        </is>
      </c>
      <c r="E80" s="9" t="inlineStr">
        <is>
          <t>erratic</t>
        </is>
      </c>
      <c r="F80" s="18" t="n">
        <v>3.805057525634766</v>
      </c>
      <c r="G80" s="18" t="n">
        <v>3.855233316836158</v>
      </c>
      <c r="H80" s="12" t="n">
        <v>10</v>
      </c>
      <c r="I80" s="12" t="n">
        <v>3.5</v>
      </c>
      <c r="J80" s="12">
        <f>MAX(H80+Assumptions!$C$7,1)</f>
        <v/>
      </c>
      <c r="K80" s="17">
        <f>I80*Assumptions!$C$8</f>
        <v/>
      </c>
      <c r="L80" s="10">
        <f>Assumptions!$C$6</f>
        <v/>
      </c>
      <c r="M80" s="12">
        <f>J80+L80</f>
        <v/>
      </c>
      <c r="N80" s="17">
        <f>SQRT(M80*G80^2+F80^2*K80^2)</f>
        <v/>
      </c>
      <c r="O80" s="18">
        <f>Assumptions!$C$12</f>
        <v/>
      </c>
      <c r="P80" s="17">
        <f>O80*N80</f>
        <v/>
      </c>
      <c r="Q80" s="17">
        <f>F80*M80+P80</f>
        <v/>
      </c>
      <c r="R80" s="12" t="n"/>
      <c r="S80" s="9" t="b">
        <v>0</v>
      </c>
      <c r="T80" s="17">
        <f>IF(AND(S80,ISNUMBER(R80)),IF(R80&gt;Q80,R80,Q80),Q80)</f>
        <v/>
      </c>
      <c r="U80" s="17">
        <f>T80-F80*M80</f>
        <v/>
      </c>
      <c r="V80" s="17" t="n">
        <v>98.79554578579727</v>
      </c>
      <c r="W80" s="9">
        <f>IF(ABS(T80-V80)&lt;0.01,"OK","CHECK")</f>
        <v/>
      </c>
    </row>
    <row r="81">
      <c r="A81" s="9" t="inlineStr">
        <is>
          <t>SYN_HOUSEHOLD_2_004_CA_2</t>
        </is>
      </c>
      <c r="B81" s="9" t="inlineStr">
        <is>
          <t>SYN_HOUSEHOLD_2_004</t>
        </is>
      </c>
      <c r="C81" s="9" t="inlineStr">
        <is>
          <t>CA_2</t>
        </is>
      </c>
      <c r="D81" s="9" t="inlineStr">
        <is>
          <t>HOUSEHOLD</t>
        </is>
      </c>
      <c r="E81" s="9" t="inlineStr">
        <is>
          <t>smooth</t>
        </is>
      </c>
      <c r="F81" s="18" t="n">
        <v>22.55357142857143</v>
      </c>
      <c r="G81" s="18" t="n">
        <v>6.155282284347323</v>
      </c>
      <c r="H81" s="12" t="n">
        <v>10</v>
      </c>
      <c r="I81" s="12" t="n">
        <v>3.5</v>
      </c>
      <c r="J81" s="12">
        <f>MAX(H81+Assumptions!$C$7,1)</f>
        <v/>
      </c>
      <c r="K81" s="17">
        <f>I81*Assumptions!$C$8</f>
        <v/>
      </c>
      <c r="L81" s="10">
        <f>Assumptions!$C$6</f>
        <v/>
      </c>
      <c r="M81" s="12">
        <f>J81+L81</f>
        <v/>
      </c>
      <c r="N81" s="17">
        <f>SQRT(M81*G81^2+F81^2*K81^2)</f>
        <v/>
      </c>
      <c r="O81" s="18">
        <f>Assumptions!$C$12</f>
        <v/>
      </c>
      <c r="P81" s="17">
        <f>O81*N81</f>
        <v/>
      </c>
      <c r="Q81" s="17">
        <f>F81*M81+P81</f>
        <v/>
      </c>
      <c r="R81" s="12" t="n"/>
      <c r="S81" s="9" t="b">
        <v>0</v>
      </c>
      <c r="T81" s="17">
        <f>IF(AND(S81,ISNUMBER(R81)),IF(R81&gt;Q81,R81,Q81),Q81)</f>
        <v/>
      </c>
      <c r="U81" s="17">
        <f>T81-F81*M81</f>
        <v/>
      </c>
      <c r="V81" s="17" t="n">
        <v>519.7969185085229</v>
      </c>
      <c r="W81" s="9">
        <f>IF(ABS(T81-V81)&lt;0.01,"OK","CHECK")</f>
        <v/>
      </c>
    </row>
    <row r="82">
      <c r="A82" s="9" t="inlineStr">
        <is>
          <t>SYN_HOUSEHOLD_2_005_CA_2</t>
        </is>
      </c>
      <c r="B82" s="9" t="inlineStr">
        <is>
          <t>SYN_HOUSEHOLD_2_005</t>
        </is>
      </c>
      <c r="C82" s="9" t="inlineStr">
        <is>
          <t>CA_2</t>
        </is>
      </c>
      <c r="D82" s="9" t="inlineStr">
        <is>
          <t>HOUSEHOLD</t>
        </is>
      </c>
      <c r="E82" s="9" t="inlineStr">
        <is>
          <t>intermittent</t>
        </is>
      </c>
      <c r="F82" s="18" t="n">
        <v>0.9464285714285716</v>
      </c>
      <c r="G82" s="18" t="n">
        <v>1.148479479270642</v>
      </c>
      <c r="H82" s="12" t="n">
        <v>10</v>
      </c>
      <c r="I82" s="12" t="n">
        <v>3.5</v>
      </c>
      <c r="J82" s="12">
        <f>MAX(H82+Assumptions!$C$7,1)</f>
        <v/>
      </c>
      <c r="K82" s="17">
        <f>I82*Assumptions!$C$8</f>
        <v/>
      </c>
      <c r="L82" s="10">
        <f>Assumptions!$C$6</f>
        <v/>
      </c>
      <c r="M82" s="12">
        <f>J82+L82</f>
        <v/>
      </c>
      <c r="N82" s="17">
        <f>SQRT(M82*G82^2+F82^2*K82^2)</f>
        <v/>
      </c>
      <c r="O82" s="18">
        <f>Assumptions!$C$12</f>
        <v/>
      </c>
      <c r="P82" s="17">
        <f>O82*N82</f>
        <v/>
      </c>
      <c r="Q82" s="17">
        <f>F82*M82+P82</f>
        <v/>
      </c>
      <c r="R82" s="12" t="n">
        <v>22</v>
      </c>
      <c r="S82" s="9" t="b">
        <v>1</v>
      </c>
      <c r="T82" s="17">
        <f>IF(AND(S82,ISNUMBER(R82)),IF(R82&gt;Q82,R82,Q82),Q82)</f>
        <v/>
      </c>
      <c r="U82" s="17">
        <f>T82-F82*M82</f>
        <v/>
      </c>
      <c r="V82" s="17" t="n">
        <v>25.59473858047277</v>
      </c>
      <c r="W82" s="9">
        <f>IF(ABS(T82-V82)&lt;0.01,"OK","CHECK")</f>
        <v/>
      </c>
    </row>
    <row r="83">
      <c r="A83" s="9" t="inlineStr">
        <is>
          <t>SYN_HOUSEHOLD_2_006_CA_2</t>
        </is>
      </c>
      <c r="B83" s="9" t="inlineStr">
        <is>
          <t>SYN_HOUSEHOLD_2_006</t>
        </is>
      </c>
      <c r="C83" s="9" t="inlineStr">
        <is>
          <t>CA_2</t>
        </is>
      </c>
      <c r="D83" s="9" t="inlineStr">
        <is>
          <t>HOUSEHOLD</t>
        </is>
      </c>
      <c r="E83" s="9" t="inlineStr">
        <is>
          <t>erratic</t>
        </is>
      </c>
      <c r="F83" s="18" t="n">
        <v>7.420317186939287</v>
      </c>
      <c r="G83" s="18" t="n">
        <v>6.857038213661257</v>
      </c>
      <c r="H83" s="12" t="n">
        <v>10</v>
      </c>
      <c r="I83" s="12" t="n">
        <v>3.5</v>
      </c>
      <c r="J83" s="12">
        <f>MAX(H83+Assumptions!$C$7,1)</f>
        <v/>
      </c>
      <c r="K83" s="17">
        <f>I83*Assumptions!$C$8</f>
        <v/>
      </c>
      <c r="L83" s="10">
        <f>Assumptions!$C$6</f>
        <v/>
      </c>
      <c r="M83" s="12">
        <f>J83+L83</f>
        <v/>
      </c>
      <c r="N83" s="17">
        <f>SQRT(M83*G83^2+F83^2*K83^2)</f>
        <v/>
      </c>
      <c r="O83" s="18">
        <f>Assumptions!$C$12</f>
        <v/>
      </c>
      <c r="P83" s="17">
        <f>O83*N83</f>
        <v/>
      </c>
      <c r="Q83" s="17">
        <f>F83*M83+P83</f>
        <v/>
      </c>
      <c r="R83" s="12" t="n"/>
      <c r="S83" s="9" t="b">
        <v>0</v>
      </c>
      <c r="T83" s="17">
        <f>IF(AND(S83,ISNUMBER(R83)),IF(R83&gt;Q83,R83,Q83),Q83)</f>
        <v/>
      </c>
      <c r="U83" s="17">
        <f>T83-F83*M83</f>
        <v/>
      </c>
      <c r="V83" s="17" t="n">
        <v>189.2919442104411</v>
      </c>
      <c r="W83" s="9">
        <f>IF(ABS(T83-V83)&lt;0.01,"OK","CHECK")</f>
        <v/>
      </c>
    </row>
    <row r="84">
      <c r="A84" s="9" t="inlineStr">
        <is>
          <t>SYN_HOUSEHOLD_2_008_CA_2</t>
        </is>
      </c>
      <c r="B84" s="9" t="inlineStr">
        <is>
          <t>SYN_HOUSEHOLD_2_008</t>
        </is>
      </c>
      <c r="C84" s="9" t="inlineStr">
        <is>
          <t>CA_2</t>
        </is>
      </c>
      <c r="D84" s="9" t="inlineStr">
        <is>
          <t>HOUSEHOLD</t>
        </is>
      </c>
      <c r="E84" s="9" t="inlineStr">
        <is>
          <t>erratic</t>
        </is>
      </c>
      <c r="F84" s="18" t="n">
        <v>3.769969463348389</v>
      </c>
      <c r="G84" s="18" t="n">
        <v>3.072028919414721</v>
      </c>
      <c r="H84" s="12" t="n">
        <v>10</v>
      </c>
      <c r="I84" s="12" t="n">
        <v>3.5</v>
      </c>
      <c r="J84" s="12">
        <f>MAX(H84+Assumptions!$C$7,1)</f>
        <v/>
      </c>
      <c r="K84" s="17">
        <f>I84*Assumptions!$C$8</f>
        <v/>
      </c>
      <c r="L84" s="10">
        <f>Assumptions!$C$6</f>
        <v/>
      </c>
      <c r="M84" s="12">
        <f>J84+L84</f>
        <v/>
      </c>
      <c r="N84" s="17">
        <f>SQRT(M84*G84^2+F84^2*K84^2)</f>
        <v/>
      </c>
      <c r="O84" s="18">
        <f>Assumptions!$C$12</f>
        <v/>
      </c>
      <c r="P84" s="17">
        <f>O84*N84</f>
        <v/>
      </c>
      <c r="Q84" s="17">
        <f>F84*M84+P84</f>
        <v/>
      </c>
      <c r="R84" s="12" t="n"/>
      <c r="S84" s="9" t="b">
        <v>0</v>
      </c>
      <c r="T84" s="17">
        <f>IF(AND(S84,ISNUMBER(R84)),IF(R84&gt;Q84,R84,Q84),Q84)</f>
        <v/>
      </c>
      <c r="U84" s="17">
        <f>T84-F84*M84</f>
        <v/>
      </c>
      <c r="V84" s="17" t="n">
        <v>94.17458450668468</v>
      </c>
      <c r="W84" s="9">
        <f>IF(ABS(T84-V84)&lt;0.01,"OK","CHECK")</f>
        <v/>
      </c>
    </row>
  </sheetData>
  <autoFilter ref="A4:W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17E83"/>
    <outlinePr summaryBelow="1" summaryRight="1"/>
    <pageSetUpPr/>
  </sheetPr>
  <dimension ref="A1:V8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10" customWidth="1" min="14" max="14"/>
    <col width="9" customWidth="1" min="15" max="15"/>
    <col width="9" customWidth="1" min="16" max="16"/>
    <col width="8" customWidth="1" min="17" max="17"/>
    <col width="9" customWidth="1" min="18" max="18"/>
    <col width="11" customWidth="1" min="19" max="19"/>
    <col width="10" customWidth="1" min="20" max="20"/>
    <col width="9" customWidth="1" min="21" max="21"/>
    <col width="10" customWidth="1" min="22" max="22"/>
  </cols>
  <sheetData>
    <row r="1">
      <c r="A1" s="1" t="inlineStr">
        <is>
          <t>Reorder points, order-up-to levels and order quantities (MODELED)</t>
        </is>
      </c>
    </row>
    <row r="2">
      <c r="A2" s="2" t="inlineStr">
        <is>
          <t>Live formulas referencing the Safety Stock sheet. On-hand and on-order stock are SIMULATED.</t>
        </is>
      </c>
    </row>
    <row r="4" ht="32" customHeight="1">
      <c r="A4" s="5" t="inlineStr">
        <is>
          <t>Series</t>
        </is>
      </c>
      <c r="B4" s="5" t="inlineStr">
        <is>
          <t>Item</t>
        </is>
      </c>
      <c r="C4" s="5" t="inlineStr">
        <is>
          <t>Store</t>
        </is>
      </c>
      <c r="D4" s="5" t="inlineStr">
        <is>
          <t>mu</t>
        </is>
      </c>
      <c r="E4" s="5" t="inlineStr">
        <is>
          <t>Reorder point s</t>
        </is>
      </c>
      <c r="F4" s="5" t="inlineStr">
        <is>
          <t>Unit cost</t>
        </is>
      </c>
      <c r="G4" s="5" t="inlineStr">
        <is>
          <t>Order cost</t>
        </is>
      </c>
      <c r="H4" s="5" t="inlineStr">
        <is>
          <t>Holding $/unit/yr</t>
        </is>
      </c>
      <c r="I4" s="5" t="inlineStr">
        <is>
          <t>EOQ</t>
        </is>
      </c>
      <c r="J4" s="5" t="inlineStr">
        <is>
          <t>Cycle stock</t>
        </is>
      </c>
      <c r="K4" s="5" t="inlineStr">
        <is>
          <t>Order-up-to S</t>
        </is>
      </c>
      <c r="L4" s="5" t="inlineStr">
        <is>
          <t>On hand</t>
        </is>
      </c>
      <c r="M4" s="5" t="inlineStr">
        <is>
          <t>On order</t>
        </is>
      </c>
      <c r="N4" s="5" t="inlineStr">
        <is>
          <t>Inventory position</t>
        </is>
      </c>
      <c r="O4" s="5" t="inlineStr">
        <is>
          <t>Order needed?</t>
        </is>
      </c>
      <c r="P4" s="5" t="inlineStr">
        <is>
          <t>Raw need</t>
        </is>
      </c>
      <c r="Q4" s="5" t="inlineStr">
        <is>
          <t>Case pack</t>
        </is>
      </c>
      <c r="R4" s="5" t="inlineStr">
        <is>
          <t>MOQ (units)</t>
        </is>
      </c>
      <c r="S4" s="5" t="inlineStr">
        <is>
          <t>Recommended qty</t>
        </is>
      </c>
      <c r="T4" s="5" t="inlineStr">
        <is>
          <t>Coverage (days)</t>
        </is>
      </c>
      <c r="U4" s="5" t="inlineStr">
        <is>
          <t>Python qty</t>
        </is>
      </c>
      <c r="V4" s="5" t="inlineStr">
        <is>
          <t>Check vs Python</t>
        </is>
      </c>
    </row>
    <row r="5">
      <c r="A5" s="9" t="inlineStr">
        <is>
          <t>SYN_FOODS_1_001_CA_1</t>
        </is>
      </c>
      <c r="B5" s="9" t="inlineStr">
        <is>
          <t>SYN_FOODS_1_001</t>
        </is>
      </c>
      <c r="C5" s="9" t="inlineStr">
        <is>
          <t>CA_1</t>
        </is>
      </c>
      <c r="D5" s="18">
        <f>'Safety Stock'!F5</f>
        <v/>
      </c>
      <c r="E5" s="17">
        <f>'Safety Stock'!T5</f>
        <v/>
      </c>
      <c r="F5" s="11" t="n">
        <v>3.77</v>
      </c>
      <c r="G5" s="11" t="n">
        <v>6</v>
      </c>
      <c r="H5" s="11">
        <f>F5*Assumptions!$C$9</f>
        <v/>
      </c>
      <c r="I5" s="12">
        <f>IF(AND(D5&gt;0,H5&gt;0),SQRT(2*365*D5*G5/H5),0)</f>
        <v/>
      </c>
      <c r="J5" s="12">
        <f>MIN(MAX(I5,D5*Assumptions!$C$6),D5*Assumptions!$C$11)</f>
        <v/>
      </c>
      <c r="K5" s="17">
        <f>E5+J5</f>
        <v/>
      </c>
      <c r="L5" s="10" t="n">
        <v>75</v>
      </c>
      <c r="M5" s="10" t="n">
        <v>0</v>
      </c>
      <c r="N5" s="10">
        <f>L5+M5</f>
        <v/>
      </c>
      <c r="O5" s="9">
        <f>AND(N5&lt;=E5+0.000000001,K5-N5&gt;0.000000001)</f>
        <v/>
      </c>
      <c r="P5" s="17">
        <f>IF(O5,K5-N5,0)</f>
        <v/>
      </c>
      <c r="Q5" s="10" t="n">
        <v>12</v>
      </c>
      <c r="R5" s="10" t="n">
        <v>12</v>
      </c>
      <c r="S5" s="10">
        <f>IF(O5,MAX(CEILING(ROUND(P5/Q5,6),1)*Q5,CEILING(R5/Q5,1)*Q5),0)</f>
        <v/>
      </c>
      <c r="T5" s="12">
        <f>IF(D5&gt;0,L5/D5,"no demand")</f>
        <v/>
      </c>
      <c r="U5" s="10" t="n">
        <v>132</v>
      </c>
      <c r="V5" s="9">
        <f>IF(S5=U5,"OK","CHECK")</f>
        <v/>
      </c>
    </row>
    <row r="6">
      <c r="A6" s="9" t="inlineStr">
        <is>
          <t>SYN_FOODS_1_003_CA_1</t>
        </is>
      </c>
      <c r="B6" s="9" t="inlineStr">
        <is>
          <t>SYN_FOODS_1_003</t>
        </is>
      </c>
      <c r="C6" s="9" t="inlineStr">
        <is>
          <t>CA_1</t>
        </is>
      </c>
      <c r="D6" s="18">
        <f>'Safety Stock'!F6</f>
        <v/>
      </c>
      <c r="E6" s="17">
        <f>'Safety Stock'!T6</f>
        <v/>
      </c>
      <c r="F6" s="11" t="n">
        <v>1.88</v>
      </c>
      <c r="G6" s="11" t="n">
        <v>6</v>
      </c>
      <c r="H6" s="11">
        <f>F6*Assumptions!$C$9</f>
        <v/>
      </c>
      <c r="I6" s="12">
        <f>IF(AND(D6&gt;0,H6&gt;0),SQRT(2*365*D6*G6/H6),0)</f>
        <v/>
      </c>
      <c r="J6" s="12">
        <f>MIN(MAX(I6,D6*Assumptions!$C$6),D6*Assumptions!$C$11)</f>
        <v/>
      </c>
      <c r="K6" s="17">
        <f>E6+J6</f>
        <v/>
      </c>
      <c r="L6" s="10" t="n">
        <v>28</v>
      </c>
      <c r="M6" s="10" t="n">
        <v>0</v>
      </c>
      <c r="N6" s="10">
        <f>L6+M6</f>
        <v/>
      </c>
      <c r="O6" s="9">
        <f>AND(N6&lt;=E6+0.000000001,K6-N6&gt;0.000000001)</f>
        <v/>
      </c>
      <c r="P6" s="17">
        <f>IF(O6,K6-N6,0)</f>
        <v/>
      </c>
      <c r="Q6" s="10" t="n">
        <v>2</v>
      </c>
      <c r="R6" s="10" t="n">
        <v>2</v>
      </c>
      <c r="S6" s="10">
        <f>IF(O6,MAX(CEILING(ROUND(P6/Q6,6),1)*Q6,CEILING(R6/Q6,1)*Q6),0)</f>
        <v/>
      </c>
      <c r="T6" s="12">
        <f>IF(D6&gt;0,L6/D6,"no demand")</f>
        <v/>
      </c>
      <c r="U6" s="10" t="n">
        <v>0</v>
      </c>
      <c r="V6" s="9">
        <f>IF(S6=U6,"OK","CHECK")</f>
        <v/>
      </c>
    </row>
    <row r="7">
      <c r="A7" s="9" t="inlineStr">
        <is>
          <t>SYN_FOODS_1_008_CA_1</t>
        </is>
      </c>
      <c r="B7" s="9" t="inlineStr">
        <is>
          <t>SYN_FOODS_1_008</t>
        </is>
      </c>
      <c r="C7" s="9" t="inlineStr">
        <is>
          <t>CA_1</t>
        </is>
      </c>
      <c r="D7" s="18">
        <f>'Safety Stock'!F7</f>
        <v/>
      </c>
      <c r="E7" s="17">
        <f>'Safety Stock'!T7</f>
        <v/>
      </c>
      <c r="F7" s="11" t="n">
        <v>4.63</v>
      </c>
      <c r="G7" s="11" t="n">
        <v>6</v>
      </c>
      <c r="H7" s="11">
        <f>F7*Assumptions!$C$9</f>
        <v/>
      </c>
      <c r="I7" s="12">
        <f>IF(AND(D7&gt;0,H7&gt;0),SQRT(2*365*D7*G7/H7),0)</f>
        <v/>
      </c>
      <c r="J7" s="12">
        <f>MIN(MAX(I7,D7*Assumptions!$C$6),D7*Assumptions!$C$11)</f>
        <v/>
      </c>
      <c r="K7" s="17">
        <f>E7+J7</f>
        <v/>
      </c>
      <c r="L7" s="10" t="n">
        <v>30</v>
      </c>
      <c r="M7" s="10" t="n">
        <v>0</v>
      </c>
      <c r="N7" s="10">
        <f>L7+M7</f>
        <v/>
      </c>
      <c r="O7" s="9">
        <f>AND(N7&lt;=E7+0.000000001,K7-N7&gt;0.000000001)</f>
        <v/>
      </c>
      <c r="P7" s="17">
        <f>IF(O7,K7-N7,0)</f>
        <v/>
      </c>
      <c r="Q7" s="10" t="n">
        <v>6</v>
      </c>
      <c r="R7" s="10" t="n">
        <v>6</v>
      </c>
      <c r="S7" s="10">
        <f>IF(O7,MAX(CEILING(ROUND(P7/Q7,6),1)*Q7,CEILING(R7/Q7,1)*Q7),0)</f>
        <v/>
      </c>
      <c r="T7" s="12">
        <f>IF(D7&gt;0,L7/D7,"no demand")</f>
        <v/>
      </c>
      <c r="U7" s="10" t="n">
        <v>84</v>
      </c>
      <c r="V7" s="9">
        <f>IF(S7=U7,"OK","CHECK")</f>
        <v/>
      </c>
    </row>
    <row r="8">
      <c r="A8" s="9" t="inlineStr">
        <is>
          <t>SYN_FOODS_1_009_CA_1</t>
        </is>
      </c>
      <c r="B8" s="9" t="inlineStr">
        <is>
          <t>SYN_FOODS_1_009</t>
        </is>
      </c>
      <c r="C8" s="9" t="inlineStr">
        <is>
          <t>CA_1</t>
        </is>
      </c>
      <c r="D8" s="18">
        <f>'Safety Stock'!F8</f>
        <v/>
      </c>
      <c r="E8" s="17">
        <f>'Safety Stock'!T8</f>
        <v/>
      </c>
      <c r="F8" s="11" t="n">
        <v>5.45</v>
      </c>
      <c r="G8" s="11" t="n">
        <v>6</v>
      </c>
      <c r="H8" s="11">
        <f>F8*Assumptions!$C$9</f>
        <v/>
      </c>
      <c r="I8" s="12">
        <f>IF(AND(D8&gt;0,H8&gt;0),SQRT(2*365*D8*G8/H8),0)</f>
        <v/>
      </c>
      <c r="J8" s="12">
        <f>MIN(MAX(I8,D8*Assumptions!$C$6),D8*Assumptions!$C$11)</f>
        <v/>
      </c>
      <c r="K8" s="17">
        <f>E8+J8</f>
        <v/>
      </c>
      <c r="L8" s="10" t="n">
        <v>318</v>
      </c>
      <c r="M8" s="10" t="n">
        <v>0</v>
      </c>
      <c r="N8" s="10">
        <f>L8+M8</f>
        <v/>
      </c>
      <c r="O8" s="9">
        <f>AND(N8&lt;=E8+0.000000001,K8-N8&gt;0.000000001)</f>
        <v/>
      </c>
      <c r="P8" s="17">
        <f>IF(O8,K8-N8,0)</f>
        <v/>
      </c>
      <c r="Q8" s="10" t="n">
        <v>12</v>
      </c>
      <c r="R8" s="10" t="n">
        <v>12</v>
      </c>
      <c r="S8" s="10">
        <f>IF(O8,MAX(CEILING(ROUND(P8/Q8,6),1)*Q8,CEILING(R8/Q8,1)*Q8),0)</f>
        <v/>
      </c>
      <c r="T8" s="12">
        <f>IF(D8&gt;0,L8/D8,"no demand")</f>
        <v/>
      </c>
      <c r="U8" s="10" t="n">
        <v>0</v>
      </c>
      <c r="V8" s="9">
        <f>IF(S8=U8,"OK","CHECK")</f>
        <v/>
      </c>
    </row>
    <row r="9">
      <c r="A9" s="9" t="inlineStr">
        <is>
          <t>SYN_FOODS_2_004_CA_1</t>
        </is>
      </c>
      <c r="B9" s="9" t="inlineStr">
        <is>
          <t>SYN_FOODS_2_004</t>
        </is>
      </c>
      <c r="C9" s="9" t="inlineStr">
        <is>
          <t>CA_1</t>
        </is>
      </c>
      <c r="D9" s="18">
        <f>'Safety Stock'!F9</f>
        <v/>
      </c>
      <c r="E9" s="17">
        <f>'Safety Stock'!T9</f>
        <v/>
      </c>
      <c r="F9" s="11" t="n">
        <v>2.01</v>
      </c>
      <c r="G9" s="11" t="n">
        <v>6</v>
      </c>
      <c r="H9" s="11">
        <f>F9*Assumptions!$C$9</f>
        <v/>
      </c>
      <c r="I9" s="12">
        <f>IF(AND(D9&gt;0,H9&gt;0),SQRT(2*365*D9*G9/H9),0)</f>
        <v/>
      </c>
      <c r="J9" s="12">
        <f>MIN(MAX(I9,D9*Assumptions!$C$6),D9*Assumptions!$C$11)</f>
        <v/>
      </c>
      <c r="K9" s="17">
        <f>E9+J9</f>
        <v/>
      </c>
      <c r="L9" s="10" t="n">
        <v>15</v>
      </c>
      <c r="M9" s="10" t="n">
        <v>0</v>
      </c>
      <c r="N9" s="10">
        <f>L9+M9</f>
        <v/>
      </c>
      <c r="O9" s="9">
        <f>AND(N9&lt;=E9+0.000000001,K9-N9&gt;0.000000001)</f>
        <v/>
      </c>
      <c r="P9" s="17">
        <f>IF(O9,K9-N9,0)</f>
        <v/>
      </c>
      <c r="Q9" s="10" t="n">
        <v>2</v>
      </c>
      <c r="R9" s="10" t="n">
        <v>2</v>
      </c>
      <c r="S9" s="10">
        <f>IF(O9,MAX(CEILING(ROUND(P9/Q9,6),1)*Q9,CEILING(R9/Q9,1)*Q9),0)</f>
        <v/>
      </c>
      <c r="T9" s="12">
        <f>IF(D9&gt;0,L9/D9,"no demand")</f>
        <v/>
      </c>
      <c r="U9" s="10" t="n">
        <v>34</v>
      </c>
      <c r="V9" s="9">
        <f>IF(S9=U9,"OK","CHECK")</f>
        <v/>
      </c>
    </row>
    <row r="10">
      <c r="A10" s="9" t="inlineStr">
        <is>
          <t>SYN_FOODS_2_005_CA_1</t>
        </is>
      </c>
      <c r="B10" s="9" t="inlineStr">
        <is>
          <t>SYN_FOODS_2_005</t>
        </is>
      </c>
      <c r="C10" s="9" t="inlineStr">
        <is>
          <t>CA_1</t>
        </is>
      </c>
      <c r="D10" s="18">
        <f>'Safety Stock'!F10</f>
        <v/>
      </c>
      <c r="E10" s="17">
        <f>'Safety Stock'!T10</f>
        <v/>
      </c>
      <c r="F10" s="11" t="n">
        <v>5.21</v>
      </c>
      <c r="G10" s="11" t="n">
        <v>6</v>
      </c>
      <c r="H10" s="11">
        <f>F10*Assumptions!$C$9</f>
        <v/>
      </c>
      <c r="I10" s="12">
        <f>IF(AND(D10&gt;0,H10&gt;0),SQRT(2*365*D10*G10/H10),0)</f>
        <v/>
      </c>
      <c r="J10" s="12">
        <f>MIN(MAX(I10,D10*Assumptions!$C$6),D10*Assumptions!$C$11)</f>
        <v/>
      </c>
      <c r="K10" s="17">
        <f>E10+J10</f>
        <v/>
      </c>
      <c r="L10" s="10" t="n">
        <v>12</v>
      </c>
      <c r="M10" s="10" t="n">
        <v>0</v>
      </c>
      <c r="N10" s="10">
        <f>L10+M10</f>
        <v/>
      </c>
      <c r="O10" s="9">
        <f>AND(N10&lt;=E10+0.000000001,K10-N10&gt;0.000000001)</f>
        <v/>
      </c>
      <c r="P10" s="17">
        <f>IF(O10,K10-N10,0)</f>
        <v/>
      </c>
      <c r="Q10" s="10" t="n">
        <v>4</v>
      </c>
      <c r="R10" s="10" t="n">
        <v>4</v>
      </c>
      <c r="S10" s="10">
        <f>IF(O10,MAX(CEILING(ROUND(P10/Q10,6),1)*Q10,CEILING(R10/Q10,1)*Q10),0)</f>
        <v/>
      </c>
      <c r="T10" s="12">
        <f>IF(D10&gt;0,L10/D10,"no demand")</f>
        <v/>
      </c>
      <c r="U10" s="10" t="n">
        <v>80</v>
      </c>
      <c r="V10" s="9">
        <f>IF(S10=U10,"OK","CHECK")</f>
        <v/>
      </c>
    </row>
    <row r="11">
      <c r="A11" s="9" t="inlineStr">
        <is>
          <t>SYN_FOODS_2_006_CA_1</t>
        </is>
      </c>
      <c r="B11" s="9" t="inlineStr">
        <is>
          <t>SYN_FOODS_2_006</t>
        </is>
      </c>
      <c r="C11" s="9" t="inlineStr">
        <is>
          <t>CA_1</t>
        </is>
      </c>
      <c r="D11" s="18">
        <f>'Safety Stock'!F11</f>
        <v/>
      </c>
      <c r="E11" s="17">
        <f>'Safety Stock'!T11</f>
        <v/>
      </c>
      <c r="F11" s="11" t="n">
        <v>1.46</v>
      </c>
      <c r="G11" s="11" t="n">
        <v>6</v>
      </c>
      <c r="H11" s="11">
        <f>F11*Assumptions!$C$9</f>
        <v/>
      </c>
      <c r="I11" s="12">
        <f>IF(AND(D11&gt;0,H11&gt;0),SQRT(2*365*D11*G11/H11),0)</f>
        <v/>
      </c>
      <c r="J11" s="12">
        <f>MIN(MAX(I11,D11*Assumptions!$C$6),D11*Assumptions!$C$11)</f>
        <v/>
      </c>
      <c r="K11" s="17">
        <f>E11+J11</f>
        <v/>
      </c>
      <c r="L11" s="10" t="n">
        <v>66</v>
      </c>
      <c r="M11" s="10" t="n">
        <v>0</v>
      </c>
      <c r="N11" s="10">
        <f>L11+M11</f>
        <v/>
      </c>
      <c r="O11" s="9">
        <f>AND(N11&lt;=E11+0.000000001,K11-N11&gt;0.000000001)</f>
        <v/>
      </c>
      <c r="P11" s="17">
        <f>IF(O11,K11-N11,0)</f>
        <v/>
      </c>
      <c r="Q11" s="10" t="n">
        <v>6</v>
      </c>
      <c r="R11" s="10" t="n">
        <v>6</v>
      </c>
      <c r="S11" s="10">
        <f>IF(O11,MAX(CEILING(ROUND(P11/Q11,6),1)*Q11,CEILING(R11/Q11,1)*Q11),0)</f>
        <v/>
      </c>
      <c r="T11" s="12">
        <f>IF(D11&gt;0,L11/D11,"no demand")</f>
        <v/>
      </c>
      <c r="U11" s="10" t="n">
        <v>0</v>
      </c>
      <c r="V11" s="9">
        <f>IF(S11=U11,"OK","CHECK")</f>
        <v/>
      </c>
    </row>
    <row r="12">
      <c r="A12" s="9" t="inlineStr">
        <is>
          <t>SYN_FOODS_2_008_CA_1</t>
        </is>
      </c>
      <c r="B12" s="9" t="inlineStr">
        <is>
          <t>SYN_FOODS_2_008</t>
        </is>
      </c>
      <c r="C12" s="9" t="inlineStr">
        <is>
          <t>CA_1</t>
        </is>
      </c>
      <c r="D12" s="18">
        <f>'Safety Stock'!F12</f>
        <v/>
      </c>
      <c r="E12" s="17">
        <f>'Safety Stock'!T12</f>
        <v/>
      </c>
      <c r="F12" s="11" t="n">
        <v>4.95</v>
      </c>
      <c r="G12" s="11" t="n">
        <v>6</v>
      </c>
      <c r="H12" s="11">
        <f>F12*Assumptions!$C$9</f>
        <v/>
      </c>
      <c r="I12" s="12">
        <f>IF(AND(D12&gt;0,H12&gt;0),SQRT(2*365*D12*G12/H12),0)</f>
        <v/>
      </c>
      <c r="J12" s="12">
        <f>MIN(MAX(I12,D12*Assumptions!$C$6),D12*Assumptions!$C$11)</f>
        <v/>
      </c>
      <c r="K12" s="17">
        <f>E12+J12</f>
        <v/>
      </c>
      <c r="L12" s="10" t="n">
        <v>7</v>
      </c>
      <c r="M12" s="10" t="n">
        <v>0</v>
      </c>
      <c r="N12" s="10">
        <f>L12+M12</f>
        <v/>
      </c>
      <c r="O12" s="9">
        <f>AND(N12&lt;=E12+0.000000001,K12-N12&gt;0.000000001)</f>
        <v/>
      </c>
      <c r="P12" s="17">
        <f>IF(O12,K12-N12,0)</f>
        <v/>
      </c>
      <c r="Q12" s="10" t="n">
        <v>4</v>
      </c>
      <c r="R12" s="10" t="n">
        <v>4</v>
      </c>
      <c r="S12" s="10">
        <f>IF(O12,MAX(CEILING(ROUND(P12/Q12,6),1)*Q12,CEILING(R12/Q12,1)*Q12),0)</f>
        <v/>
      </c>
      <c r="T12" s="12">
        <f>IF(D12&gt;0,L12/D12,"no demand")</f>
        <v/>
      </c>
      <c r="U12" s="10" t="n">
        <v>36</v>
      </c>
      <c r="V12" s="9">
        <f>IF(S12=U12,"OK","CHECK")</f>
        <v/>
      </c>
    </row>
    <row r="13">
      <c r="A13" s="9" t="inlineStr">
        <is>
          <t>SYN_FOODS_2_009_CA_1</t>
        </is>
      </c>
      <c r="B13" s="9" t="inlineStr">
        <is>
          <t>SYN_FOODS_2_009</t>
        </is>
      </c>
      <c r="C13" s="9" t="inlineStr">
        <is>
          <t>CA_1</t>
        </is>
      </c>
      <c r="D13" s="18">
        <f>'Safety Stock'!F13</f>
        <v/>
      </c>
      <c r="E13" s="17">
        <f>'Safety Stock'!T13</f>
        <v/>
      </c>
      <c r="F13" s="11" t="n">
        <v>4.18</v>
      </c>
      <c r="G13" s="11" t="n">
        <v>6</v>
      </c>
      <c r="H13" s="11">
        <f>F13*Assumptions!$C$9</f>
        <v/>
      </c>
      <c r="I13" s="12">
        <f>IF(AND(D13&gt;0,H13&gt;0),SQRT(2*365*D13*G13/H13),0)</f>
        <v/>
      </c>
      <c r="J13" s="12">
        <f>MIN(MAX(I13,D13*Assumptions!$C$6),D13*Assumptions!$C$11)</f>
        <v/>
      </c>
      <c r="K13" s="17">
        <f>E13+J13</f>
        <v/>
      </c>
      <c r="L13" s="10" t="n">
        <v>583</v>
      </c>
      <c r="M13" s="10" t="n">
        <v>0</v>
      </c>
      <c r="N13" s="10">
        <f>L13+M13</f>
        <v/>
      </c>
      <c r="O13" s="9">
        <f>AND(N13&lt;=E13+0.000000001,K13-N13&gt;0.000000001)</f>
        <v/>
      </c>
      <c r="P13" s="17">
        <f>IF(O13,K13-N13,0)</f>
        <v/>
      </c>
      <c r="Q13" s="10" t="n">
        <v>12</v>
      </c>
      <c r="R13" s="10" t="n">
        <v>12</v>
      </c>
      <c r="S13" s="10">
        <f>IF(O13,MAX(CEILING(ROUND(P13/Q13,6),1)*Q13,CEILING(R13/Q13,1)*Q13),0)</f>
        <v/>
      </c>
      <c r="T13" s="12">
        <f>IF(D13&gt;0,L13/D13,"no demand")</f>
        <v/>
      </c>
      <c r="U13" s="10" t="n">
        <v>0</v>
      </c>
      <c r="V13" s="9">
        <f>IF(S13=U13,"OK","CHECK")</f>
        <v/>
      </c>
    </row>
    <row r="14">
      <c r="A14" s="9" t="inlineStr">
        <is>
          <t>SYN_FOODS_3_002_CA_1</t>
        </is>
      </c>
      <c r="B14" s="9" t="inlineStr">
        <is>
          <t>SYN_FOODS_3_002</t>
        </is>
      </c>
      <c r="C14" s="9" t="inlineStr">
        <is>
          <t>CA_1</t>
        </is>
      </c>
      <c r="D14" s="18">
        <f>'Safety Stock'!F14</f>
        <v/>
      </c>
      <c r="E14" s="17">
        <f>'Safety Stock'!T14</f>
        <v/>
      </c>
      <c r="F14" s="11" t="n">
        <v>2.42</v>
      </c>
      <c r="G14" s="11" t="n">
        <v>4</v>
      </c>
      <c r="H14" s="11">
        <f>F14*Assumptions!$C$9</f>
        <v/>
      </c>
      <c r="I14" s="12">
        <f>IF(AND(D14&gt;0,H14&gt;0),SQRT(2*365*D14*G14/H14),0)</f>
        <v/>
      </c>
      <c r="J14" s="12">
        <f>MIN(MAX(I14,D14*Assumptions!$C$6),D14*Assumptions!$C$11)</f>
        <v/>
      </c>
      <c r="K14" s="17">
        <f>E14+J14</f>
        <v/>
      </c>
      <c r="L14" s="10" t="n">
        <v>61</v>
      </c>
      <c r="M14" s="10" t="n">
        <v>0</v>
      </c>
      <c r="N14" s="10">
        <f>L14+M14</f>
        <v/>
      </c>
      <c r="O14" s="9">
        <f>AND(N14&lt;=E14+0.000000001,K14-N14&gt;0.000000001)</f>
        <v/>
      </c>
      <c r="P14" s="17">
        <f>IF(O14,K14-N14,0)</f>
        <v/>
      </c>
      <c r="Q14" s="10" t="n">
        <v>6</v>
      </c>
      <c r="R14" s="10" t="n">
        <v>6</v>
      </c>
      <c r="S14" s="10">
        <f>IF(O14,MAX(CEILING(ROUND(P14/Q14,6),1)*Q14,CEILING(R14/Q14,1)*Q14),0)</f>
        <v/>
      </c>
      <c r="T14" s="12">
        <f>IF(D14&gt;0,L14/D14,"no demand")</f>
        <v/>
      </c>
      <c r="U14" s="10" t="n">
        <v>0</v>
      </c>
      <c r="V14" s="9">
        <f>IF(S14=U14,"OK","CHECK")</f>
        <v/>
      </c>
    </row>
    <row r="15">
      <c r="A15" s="9" t="inlineStr">
        <is>
          <t>SYN_FOODS_3_003_CA_1</t>
        </is>
      </c>
      <c r="B15" s="9" t="inlineStr">
        <is>
          <t>SYN_FOODS_3_003</t>
        </is>
      </c>
      <c r="C15" s="9" t="inlineStr">
        <is>
          <t>CA_1</t>
        </is>
      </c>
      <c r="D15" s="18">
        <f>'Safety Stock'!F15</f>
        <v/>
      </c>
      <c r="E15" s="17">
        <f>'Safety Stock'!T15</f>
        <v/>
      </c>
      <c r="F15" s="11" t="n">
        <v>1.27</v>
      </c>
      <c r="G15" s="11" t="n">
        <v>4</v>
      </c>
      <c r="H15" s="11">
        <f>F15*Assumptions!$C$9</f>
        <v/>
      </c>
      <c r="I15" s="12">
        <f>IF(AND(D15&gt;0,H15&gt;0),SQRT(2*365*D15*G15/H15),0)</f>
        <v/>
      </c>
      <c r="J15" s="12">
        <f>MIN(MAX(I15,D15*Assumptions!$C$6),D15*Assumptions!$C$11)</f>
        <v/>
      </c>
      <c r="K15" s="17">
        <f>E15+J15</f>
        <v/>
      </c>
      <c r="L15" s="10" t="n">
        <v>284</v>
      </c>
      <c r="M15" s="10" t="n">
        <v>0</v>
      </c>
      <c r="N15" s="10">
        <f>L15+M15</f>
        <v/>
      </c>
      <c r="O15" s="9">
        <f>AND(N15&lt;=E15+0.000000001,K15-N15&gt;0.000000001)</f>
        <v/>
      </c>
      <c r="P15" s="17">
        <f>IF(O15,K15-N15,0)</f>
        <v/>
      </c>
      <c r="Q15" s="10" t="n">
        <v>12</v>
      </c>
      <c r="R15" s="10" t="n">
        <v>12</v>
      </c>
      <c r="S15" s="10">
        <f>IF(O15,MAX(CEILING(ROUND(P15/Q15,6),1)*Q15,CEILING(R15/Q15,1)*Q15),0)</f>
        <v/>
      </c>
      <c r="T15" s="12">
        <f>IF(D15&gt;0,L15/D15,"no demand")</f>
        <v/>
      </c>
      <c r="U15" s="10" t="n">
        <v>0</v>
      </c>
      <c r="V15" s="9">
        <f>IF(S15=U15,"OK","CHECK")</f>
        <v/>
      </c>
    </row>
    <row r="16">
      <c r="A16" s="9" t="inlineStr">
        <is>
          <t>SYN_FOODS_3_004_CA_1</t>
        </is>
      </c>
      <c r="B16" s="9" t="inlineStr">
        <is>
          <t>SYN_FOODS_3_004</t>
        </is>
      </c>
      <c r="C16" s="9" t="inlineStr">
        <is>
          <t>CA_1</t>
        </is>
      </c>
      <c r="D16" s="18">
        <f>'Safety Stock'!F16</f>
        <v/>
      </c>
      <c r="E16" s="17">
        <f>'Safety Stock'!T16</f>
        <v/>
      </c>
      <c r="F16" s="11" t="n">
        <v>0.96</v>
      </c>
      <c r="G16" s="11" t="n">
        <v>4</v>
      </c>
      <c r="H16" s="11">
        <f>F16*Assumptions!$C$9</f>
        <v/>
      </c>
      <c r="I16" s="12">
        <f>IF(AND(D16&gt;0,H16&gt;0),SQRT(2*365*D16*G16/H16),0)</f>
        <v/>
      </c>
      <c r="J16" s="12">
        <f>MIN(MAX(I16,D16*Assumptions!$C$6),D16*Assumptions!$C$11)</f>
        <v/>
      </c>
      <c r="K16" s="17">
        <f>E16+J16</f>
        <v/>
      </c>
      <c r="L16" s="10" t="n">
        <v>276</v>
      </c>
      <c r="M16" s="10" t="n">
        <v>0</v>
      </c>
      <c r="N16" s="10">
        <f>L16+M16</f>
        <v/>
      </c>
      <c r="O16" s="9">
        <f>AND(N16&lt;=E16+0.000000001,K16-N16&gt;0.000000001)</f>
        <v/>
      </c>
      <c r="P16" s="17">
        <f>IF(O16,K16-N16,0)</f>
        <v/>
      </c>
      <c r="Q16" s="10" t="n">
        <v>12</v>
      </c>
      <c r="R16" s="10" t="n">
        <v>12</v>
      </c>
      <c r="S16" s="10">
        <f>IF(O16,MAX(CEILING(ROUND(P16/Q16,6),1)*Q16,CEILING(R16/Q16,1)*Q16),0)</f>
        <v/>
      </c>
      <c r="T16" s="12">
        <f>IF(D16&gt;0,L16/D16,"no demand")</f>
        <v/>
      </c>
      <c r="U16" s="10" t="n">
        <v>0</v>
      </c>
      <c r="V16" s="9">
        <f>IF(S16=U16,"OK","CHECK")</f>
        <v/>
      </c>
    </row>
    <row r="17">
      <c r="A17" s="9" t="inlineStr">
        <is>
          <t>SYN_FOODS_3_005_CA_1</t>
        </is>
      </c>
      <c r="B17" s="9" t="inlineStr">
        <is>
          <t>SYN_FOODS_3_005</t>
        </is>
      </c>
      <c r="C17" s="9" t="inlineStr">
        <is>
          <t>CA_1</t>
        </is>
      </c>
      <c r="D17" s="18">
        <f>'Safety Stock'!F17</f>
        <v/>
      </c>
      <c r="E17" s="17">
        <f>'Safety Stock'!T17</f>
        <v/>
      </c>
      <c r="F17" s="11" t="n">
        <v>1.76</v>
      </c>
      <c r="G17" s="11" t="n">
        <v>4</v>
      </c>
      <c r="H17" s="11">
        <f>F17*Assumptions!$C$9</f>
        <v/>
      </c>
      <c r="I17" s="12">
        <f>IF(AND(D17&gt;0,H17&gt;0),SQRT(2*365*D17*G17/H17),0)</f>
        <v/>
      </c>
      <c r="J17" s="12">
        <f>MIN(MAX(I17,D17*Assumptions!$C$6),D17*Assumptions!$C$11)</f>
        <v/>
      </c>
      <c r="K17" s="17">
        <f>E17+J17</f>
        <v/>
      </c>
      <c r="L17" s="10" t="n">
        <v>319</v>
      </c>
      <c r="M17" s="10" t="n">
        <v>0</v>
      </c>
      <c r="N17" s="10">
        <f>L17+M17</f>
        <v/>
      </c>
      <c r="O17" s="9">
        <f>AND(N17&lt;=E17+0.000000001,K17-N17&gt;0.000000001)</f>
        <v/>
      </c>
      <c r="P17" s="17">
        <f>IF(O17,K17-N17,0)</f>
        <v/>
      </c>
      <c r="Q17" s="10" t="n">
        <v>12</v>
      </c>
      <c r="R17" s="10" t="n">
        <v>12</v>
      </c>
      <c r="S17" s="10">
        <f>IF(O17,MAX(CEILING(ROUND(P17/Q17,6),1)*Q17,CEILING(R17/Q17,1)*Q17),0)</f>
        <v/>
      </c>
      <c r="T17" s="12">
        <f>IF(D17&gt;0,L17/D17,"no demand")</f>
        <v/>
      </c>
      <c r="U17" s="10" t="n">
        <v>0</v>
      </c>
      <c r="V17" s="9">
        <f>IF(S17=U17,"OK","CHECK")</f>
        <v/>
      </c>
    </row>
    <row r="18">
      <c r="A18" s="9" t="inlineStr">
        <is>
          <t>SYN_FOODS_3_007_CA_1</t>
        </is>
      </c>
      <c r="B18" s="9" t="inlineStr">
        <is>
          <t>SYN_FOODS_3_007</t>
        </is>
      </c>
      <c r="C18" s="9" t="inlineStr">
        <is>
          <t>CA_1</t>
        </is>
      </c>
      <c r="D18" s="18">
        <f>'Safety Stock'!F18</f>
        <v/>
      </c>
      <c r="E18" s="17">
        <f>'Safety Stock'!T18</f>
        <v/>
      </c>
      <c r="F18" s="11" t="n">
        <v>1.99</v>
      </c>
      <c r="G18" s="11" t="n">
        <v>4</v>
      </c>
      <c r="H18" s="11">
        <f>F18*Assumptions!$C$9</f>
        <v/>
      </c>
      <c r="I18" s="12">
        <f>IF(AND(D18&gt;0,H18&gt;0),SQRT(2*365*D18*G18/H18),0)</f>
        <v/>
      </c>
      <c r="J18" s="12">
        <f>MIN(MAX(I18,D18*Assumptions!$C$6),D18*Assumptions!$C$11)</f>
        <v/>
      </c>
      <c r="K18" s="17">
        <f>E18+J18</f>
        <v/>
      </c>
      <c r="L18" s="10" t="n">
        <v>194</v>
      </c>
      <c r="M18" s="10" t="n">
        <v>0</v>
      </c>
      <c r="N18" s="10">
        <f>L18+M18</f>
        <v/>
      </c>
      <c r="O18" s="9">
        <f>AND(N18&lt;=E18+0.000000001,K18-N18&gt;0.000000001)</f>
        <v/>
      </c>
      <c r="P18" s="17">
        <f>IF(O18,K18-N18,0)</f>
        <v/>
      </c>
      <c r="Q18" s="10" t="n">
        <v>12</v>
      </c>
      <c r="R18" s="10" t="n">
        <v>12</v>
      </c>
      <c r="S18" s="10">
        <f>IF(O18,MAX(CEILING(ROUND(P18/Q18,6),1)*Q18,CEILING(R18/Q18,1)*Q18),0)</f>
        <v/>
      </c>
      <c r="T18" s="12">
        <f>IF(D18&gt;0,L18/D18,"no demand")</f>
        <v/>
      </c>
      <c r="U18" s="10" t="n">
        <v>0</v>
      </c>
      <c r="V18" s="9">
        <f>IF(S18=U18,"OK","CHECK")</f>
        <v/>
      </c>
    </row>
    <row r="19">
      <c r="A19" s="9" t="inlineStr">
        <is>
          <t>SYN_FOODS_3_008_CA_1</t>
        </is>
      </c>
      <c r="B19" s="9" t="inlineStr">
        <is>
          <t>SYN_FOODS_3_008</t>
        </is>
      </c>
      <c r="C19" s="9" t="inlineStr">
        <is>
          <t>CA_1</t>
        </is>
      </c>
      <c r="D19" s="18">
        <f>'Safety Stock'!F19</f>
        <v/>
      </c>
      <c r="E19" s="17">
        <f>'Safety Stock'!T19</f>
        <v/>
      </c>
      <c r="F19" s="11" t="n">
        <v>2.92</v>
      </c>
      <c r="G19" s="11" t="n">
        <v>4</v>
      </c>
      <c r="H19" s="11">
        <f>F19*Assumptions!$C$9</f>
        <v/>
      </c>
      <c r="I19" s="12">
        <f>IF(AND(D19&gt;0,H19&gt;0),SQRT(2*365*D19*G19/H19),0)</f>
        <v/>
      </c>
      <c r="J19" s="12">
        <f>MIN(MAX(I19,D19*Assumptions!$C$6),D19*Assumptions!$C$11)</f>
        <v/>
      </c>
      <c r="K19" s="17">
        <f>E19+J19</f>
        <v/>
      </c>
      <c r="L19" s="10" t="n">
        <v>8</v>
      </c>
      <c r="M19" s="10" t="n">
        <v>0</v>
      </c>
      <c r="N19" s="10">
        <f>L19+M19</f>
        <v/>
      </c>
      <c r="O19" s="9">
        <f>AND(N19&lt;=E19+0.000000001,K19-N19&gt;0.000000001)</f>
        <v/>
      </c>
      <c r="P19" s="17">
        <f>IF(O19,K19-N19,0)</f>
        <v/>
      </c>
      <c r="Q19" s="10" t="n">
        <v>2</v>
      </c>
      <c r="R19" s="10" t="n">
        <v>2</v>
      </c>
      <c r="S19" s="10">
        <f>IF(O19,MAX(CEILING(ROUND(P19/Q19,6),1)*Q19,CEILING(R19/Q19,1)*Q19),0)</f>
        <v/>
      </c>
      <c r="T19" s="12">
        <f>IF(D19&gt;0,L19/D19,"no demand")</f>
        <v/>
      </c>
      <c r="U19" s="10" t="n">
        <v>22</v>
      </c>
      <c r="V19" s="9">
        <f>IF(S19=U19,"OK","CHECK")</f>
        <v/>
      </c>
    </row>
    <row r="20">
      <c r="A20" s="9" t="inlineStr">
        <is>
          <t>SYN_FOODS_3_009_CA_1</t>
        </is>
      </c>
      <c r="B20" s="9" t="inlineStr">
        <is>
          <t>SYN_FOODS_3_009</t>
        </is>
      </c>
      <c r="C20" s="9" t="inlineStr">
        <is>
          <t>CA_1</t>
        </is>
      </c>
      <c r="D20" s="18">
        <f>'Safety Stock'!F20</f>
        <v/>
      </c>
      <c r="E20" s="17">
        <f>'Safety Stock'!T20</f>
        <v/>
      </c>
      <c r="F20" s="11" t="n">
        <v>5.33</v>
      </c>
      <c r="G20" s="11" t="n">
        <v>4</v>
      </c>
      <c r="H20" s="11">
        <f>F20*Assumptions!$C$9</f>
        <v/>
      </c>
      <c r="I20" s="12">
        <f>IF(AND(D20&gt;0,H20&gt;0),SQRT(2*365*D20*G20/H20),0)</f>
        <v/>
      </c>
      <c r="J20" s="12">
        <f>MIN(MAX(I20,D20*Assumptions!$C$6),D20*Assumptions!$C$11)</f>
        <v/>
      </c>
      <c r="K20" s="17">
        <f>E20+J20</f>
        <v/>
      </c>
      <c r="L20" s="10" t="n">
        <v>139</v>
      </c>
      <c r="M20" s="10" t="n">
        <v>0</v>
      </c>
      <c r="N20" s="10">
        <f>L20+M20</f>
        <v/>
      </c>
      <c r="O20" s="9">
        <f>AND(N20&lt;=E20+0.000000001,K20-N20&gt;0.000000001)</f>
        <v/>
      </c>
      <c r="P20" s="17">
        <f>IF(O20,K20-N20,0)</f>
        <v/>
      </c>
      <c r="Q20" s="10" t="n">
        <v>12</v>
      </c>
      <c r="R20" s="10" t="n">
        <v>12</v>
      </c>
      <c r="S20" s="10">
        <f>IF(O20,MAX(CEILING(ROUND(P20/Q20,6),1)*Q20,CEILING(R20/Q20,1)*Q20),0)</f>
        <v/>
      </c>
      <c r="T20" s="12">
        <f>IF(D20&gt;0,L20/D20,"no demand")</f>
        <v/>
      </c>
      <c r="U20" s="10" t="n">
        <v>276</v>
      </c>
      <c r="V20" s="9">
        <f>IF(S20=U20,"OK","CHECK")</f>
        <v/>
      </c>
    </row>
    <row r="21">
      <c r="A21" s="9" t="inlineStr">
        <is>
          <t>SYN_HOBBIES_1_001_CA_1</t>
        </is>
      </c>
      <c r="B21" s="9" t="inlineStr">
        <is>
          <t>SYN_HOBBIES_1_001</t>
        </is>
      </c>
      <c r="C21" s="9" t="inlineStr">
        <is>
          <t>CA_1</t>
        </is>
      </c>
      <c r="D21" s="18">
        <f>'Safety Stock'!F21</f>
        <v/>
      </c>
      <c r="E21" s="17">
        <f>'Safety Stock'!T21</f>
        <v/>
      </c>
      <c r="F21" s="11" t="n">
        <v>5.49</v>
      </c>
      <c r="G21" s="11" t="n">
        <v>9</v>
      </c>
      <c r="H21" s="11">
        <f>F21*Assumptions!$C$9</f>
        <v/>
      </c>
      <c r="I21" s="12">
        <f>IF(AND(D21&gt;0,H21&gt;0),SQRT(2*365*D21*G21/H21),0)</f>
        <v/>
      </c>
      <c r="J21" s="12">
        <f>MIN(MAX(I21,D21*Assumptions!$C$6),D21*Assumptions!$C$11)</f>
        <v/>
      </c>
      <c r="K21" s="17">
        <f>E21+J21</f>
        <v/>
      </c>
      <c r="L21" s="10" t="n">
        <v>76</v>
      </c>
      <c r="M21" s="10" t="n">
        <v>0</v>
      </c>
      <c r="N21" s="10">
        <f>L21+M21</f>
        <v/>
      </c>
      <c r="O21" s="9">
        <f>AND(N21&lt;=E21+0.000000001,K21-N21&gt;0.000000001)</f>
        <v/>
      </c>
      <c r="P21" s="17">
        <f>IF(O21,K21-N21,0)</f>
        <v/>
      </c>
      <c r="Q21" s="10" t="n">
        <v>6</v>
      </c>
      <c r="R21" s="10" t="n">
        <v>12</v>
      </c>
      <c r="S21" s="10">
        <f>IF(O21,MAX(CEILING(ROUND(P21/Q21,6),1)*Q21,CEILING(R21/Q21,1)*Q21),0)</f>
        <v/>
      </c>
      <c r="T21" s="12">
        <f>IF(D21&gt;0,L21/D21,"no demand")</f>
        <v/>
      </c>
      <c r="U21" s="10" t="n">
        <v>204</v>
      </c>
      <c r="V21" s="9">
        <f>IF(S21=U21,"OK","CHECK")</f>
        <v/>
      </c>
    </row>
    <row r="22">
      <c r="A22" s="9" t="inlineStr">
        <is>
          <t>SYN_HOBBIES_1_003_CA_1</t>
        </is>
      </c>
      <c r="B22" s="9" t="inlineStr">
        <is>
          <t>SYN_HOBBIES_1_003</t>
        </is>
      </c>
      <c r="C22" s="9" t="inlineStr">
        <is>
          <t>CA_1</t>
        </is>
      </c>
      <c r="D22" s="18">
        <f>'Safety Stock'!F22</f>
        <v/>
      </c>
      <c r="E22" s="17">
        <f>'Safety Stock'!T22</f>
        <v/>
      </c>
      <c r="F22" s="11" t="n">
        <v>10.92</v>
      </c>
      <c r="G22" s="11" t="n">
        <v>9</v>
      </c>
      <c r="H22" s="11">
        <f>F22*Assumptions!$C$9</f>
        <v/>
      </c>
      <c r="I22" s="12">
        <f>IF(AND(D22&gt;0,H22&gt;0),SQRT(2*365*D22*G22/H22),0)</f>
        <v/>
      </c>
      <c r="J22" s="12">
        <f>MIN(MAX(I22,D22*Assumptions!$C$6),D22*Assumptions!$C$11)</f>
        <v/>
      </c>
      <c r="K22" s="17">
        <f>E22+J22</f>
        <v/>
      </c>
      <c r="L22" s="10" t="n">
        <v>29</v>
      </c>
      <c r="M22" s="10" t="n">
        <v>0</v>
      </c>
      <c r="N22" s="10">
        <f>L22+M22</f>
        <v/>
      </c>
      <c r="O22" s="9">
        <f>AND(N22&lt;=E22+0.000000001,K22-N22&gt;0.000000001)</f>
        <v/>
      </c>
      <c r="P22" s="17">
        <f>IF(O22,K22-N22,0)</f>
        <v/>
      </c>
      <c r="Q22" s="10" t="n">
        <v>4</v>
      </c>
      <c r="R22" s="10" t="n">
        <v>8</v>
      </c>
      <c r="S22" s="10">
        <f>IF(O22,MAX(CEILING(ROUND(P22/Q22,6),1)*Q22,CEILING(R22/Q22,1)*Q22),0)</f>
        <v/>
      </c>
      <c r="T22" s="12">
        <f>IF(D22&gt;0,L22/D22,"no demand")</f>
        <v/>
      </c>
      <c r="U22" s="10" t="n">
        <v>36</v>
      </c>
      <c r="V22" s="9">
        <f>IF(S22=U22,"OK","CHECK")</f>
        <v/>
      </c>
    </row>
    <row r="23">
      <c r="A23" s="9" t="inlineStr">
        <is>
          <t>SYN_HOBBIES_1_004_CA_1</t>
        </is>
      </c>
      <c r="B23" s="9" t="inlineStr">
        <is>
          <t>SYN_HOBBIES_1_004</t>
        </is>
      </c>
      <c r="C23" s="9" t="inlineStr">
        <is>
          <t>CA_1</t>
        </is>
      </c>
      <c r="D23" s="18">
        <f>'Safety Stock'!F23</f>
        <v/>
      </c>
      <c r="E23" s="17">
        <f>'Safety Stock'!T23</f>
        <v/>
      </c>
      <c r="F23" s="11" t="n">
        <v>6.15</v>
      </c>
      <c r="G23" s="11" t="n">
        <v>9</v>
      </c>
      <c r="H23" s="11">
        <f>F23*Assumptions!$C$9</f>
        <v/>
      </c>
      <c r="I23" s="12">
        <f>IF(AND(D23&gt;0,H23&gt;0),SQRT(2*365*D23*G23/H23),0)</f>
        <v/>
      </c>
      <c r="J23" s="12">
        <f>MIN(MAX(I23,D23*Assumptions!$C$6),D23*Assumptions!$C$11)</f>
        <v/>
      </c>
      <c r="K23" s="17">
        <f>E23+J23</f>
        <v/>
      </c>
      <c r="L23" s="10" t="n">
        <v>24</v>
      </c>
      <c r="M23" s="10" t="n">
        <v>0</v>
      </c>
      <c r="N23" s="10">
        <f>L23+M23</f>
        <v/>
      </c>
      <c r="O23" s="9">
        <f>AND(N23&lt;=E23+0.000000001,K23-N23&gt;0.000000001)</f>
        <v/>
      </c>
      <c r="P23" s="17">
        <f>IF(O23,K23-N23,0)</f>
        <v/>
      </c>
      <c r="Q23" s="10" t="n">
        <v>2</v>
      </c>
      <c r="R23" s="10" t="n">
        <v>4</v>
      </c>
      <c r="S23" s="10">
        <f>IF(O23,MAX(CEILING(ROUND(P23/Q23,6),1)*Q23,CEILING(R23/Q23,1)*Q23),0)</f>
        <v/>
      </c>
      <c r="T23" s="12">
        <f>IF(D23&gt;0,L23/D23,"no demand")</f>
        <v/>
      </c>
      <c r="U23" s="10" t="n">
        <v>0</v>
      </c>
      <c r="V23" s="9">
        <f>IF(S23=U23,"OK","CHECK")</f>
        <v/>
      </c>
    </row>
    <row r="24">
      <c r="A24" s="9" t="inlineStr">
        <is>
          <t>SYN_HOBBIES_1_005_CA_1</t>
        </is>
      </c>
      <c r="B24" s="9" t="inlineStr">
        <is>
          <t>SYN_HOBBIES_1_005</t>
        </is>
      </c>
      <c r="C24" s="9" t="inlineStr">
        <is>
          <t>CA_1</t>
        </is>
      </c>
      <c r="D24" s="18">
        <f>'Safety Stock'!F24</f>
        <v/>
      </c>
      <c r="E24" s="17">
        <f>'Safety Stock'!T24</f>
        <v/>
      </c>
      <c r="F24" s="11" t="n">
        <v>6.44</v>
      </c>
      <c r="G24" s="11" t="n">
        <v>9</v>
      </c>
      <c r="H24" s="11">
        <f>F24*Assumptions!$C$9</f>
        <v/>
      </c>
      <c r="I24" s="12">
        <f>IF(AND(D24&gt;0,H24&gt;0),SQRT(2*365*D24*G24/H24),0)</f>
        <v/>
      </c>
      <c r="J24" s="12">
        <f>MIN(MAX(I24,D24*Assumptions!$C$6),D24*Assumptions!$C$11)</f>
        <v/>
      </c>
      <c r="K24" s="17">
        <f>E24+J24</f>
        <v/>
      </c>
      <c r="L24" s="10" t="n">
        <v>16</v>
      </c>
      <c r="M24" s="10" t="n">
        <v>0</v>
      </c>
      <c r="N24" s="10">
        <f>L24+M24</f>
        <v/>
      </c>
      <c r="O24" s="9">
        <f>AND(N24&lt;=E24+0.000000001,K24-N24&gt;0.000000001)</f>
        <v/>
      </c>
      <c r="P24" s="17">
        <f>IF(O24,K24-N24,0)</f>
        <v/>
      </c>
      <c r="Q24" s="10" t="n">
        <v>2</v>
      </c>
      <c r="R24" s="10" t="n">
        <v>4</v>
      </c>
      <c r="S24" s="10">
        <f>IF(O24,MAX(CEILING(ROUND(P24/Q24,6),1)*Q24,CEILING(R24/Q24,1)*Q24),0)</f>
        <v/>
      </c>
      <c r="T24" s="12">
        <f>IF(D24&gt;0,L24/D24,"no demand")</f>
        <v/>
      </c>
      <c r="U24" s="10" t="n">
        <v>0</v>
      </c>
      <c r="V24" s="9">
        <f>IF(S24=U24,"OK","CHECK")</f>
        <v/>
      </c>
    </row>
    <row r="25">
      <c r="A25" s="9" t="inlineStr">
        <is>
          <t>SYN_HOBBIES_1_006_CA_1</t>
        </is>
      </c>
      <c r="B25" s="9" t="inlineStr">
        <is>
          <t>SYN_HOBBIES_1_006</t>
        </is>
      </c>
      <c r="C25" s="9" t="inlineStr">
        <is>
          <t>CA_1</t>
        </is>
      </c>
      <c r="D25" s="18">
        <f>'Safety Stock'!F25</f>
        <v/>
      </c>
      <c r="E25" s="17">
        <f>'Safety Stock'!T25</f>
        <v/>
      </c>
      <c r="F25" s="11" t="n">
        <v>8.199999999999999</v>
      </c>
      <c r="G25" s="11" t="n">
        <v>9</v>
      </c>
      <c r="H25" s="11">
        <f>F25*Assumptions!$C$9</f>
        <v/>
      </c>
      <c r="I25" s="12">
        <f>IF(AND(D25&gt;0,H25&gt;0),SQRT(2*365*D25*G25/H25),0)</f>
        <v/>
      </c>
      <c r="J25" s="12">
        <f>MIN(MAX(I25,D25*Assumptions!$C$6),D25*Assumptions!$C$11)</f>
        <v/>
      </c>
      <c r="K25" s="17">
        <f>E25+J25</f>
        <v/>
      </c>
      <c r="L25" s="10" t="n">
        <v>21</v>
      </c>
      <c r="M25" s="10" t="n">
        <v>6</v>
      </c>
      <c r="N25" s="10">
        <f>L25+M25</f>
        <v/>
      </c>
      <c r="O25" s="9">
        <f>AND(N25&lt;=E25+0.000000001,K25-N25&gt;0.000000001)</f>
        <v/>
      </c>
      <c r="P25" s="17">
        <f>IF(O25,K25-N25,0)</f>
        <v/>
      </c>
      <c r="Q25" s="10" t="n">
        <v>2</v>
      </c>
      <c r="R25" s="10" t="n">
        <v>4</v>
      </c>
      <c r="S25" s="10">
        <f>IF(O25,MAX(CEILING(ROUND(P25/Q25,6),1)*Q25,CEILING(R25/Q25,1)*Q25),0)</f>
        <v/>
      </c>
      <c r="T25" s="12">
        <f>IF(D25&gt;0,L25/D25,"no demand")</f>
        <v/>
      </c>
      <c r="U25" s="10" t="n">
        <v>42</v>
      </c>
      <c r="V25" s="9">
        <f>IF(S25=U25,"OK","CHECK")</f>
        <v/>
      </c>
    </row>
    <row r="26">
      <c r="A26" s="9" t="inlineStr">
        <is>
          <t>SYN_HOBBIES_1_007_CA_1</t>
        </is>
      </c>
      <c r="B26" s="9" t="inlineStr">
        <is>
          <t>SYN_HOBBIES_1_007</t>
        </is>
      </c>
      <c r="C26" s="9" t="inlineStr">
        <is>
          <t>CA_1</t>
        </is>
      </c>
      <c r="D26" s="18">
        <f>'Safety Stock'!F26</f>
        <v/>
      </c>
      <c r="E26" s="17">
        <f>'Safety Stock'!T26</f>
        <v/>
      </c>
      <c r="F26" s="11" t="n">
        <v>2.96</v>
      </c>
      <c r="G26" s="11" t="n">
        <v>9</v>
      </c>
      <c r="H26" s="11">
        <f>F26*Assumptions!$C$9</f>
        <v/>
      </c>
      <c r="I26" s="12">
        <f>IF(AND(D26&gt;0,H26&gt;0),SQRT(2*365*D26*G26/H26),0)</f>
        <v/>
      </c>
      <c r="J26" s="12">
        <f>MIN(MAX(I26,D26*Assumptions!$C$6),D26*Assumptions!$C$11)</f>
        <v/>
      </c>
      <c r="K26" s="17">
        <f>E26+J26</f>
        <v/>
      </c>
      <c r="L26" s="10" t="n">
        <v>36</v>
      </c>
      <c r="M26" s="10" t="n">
        <v>0</v>
      </c>
      <c r="N26" s="10">
        <f>L26+M26</f>
        <v/>
      </c>
      <c r="O26" s="9">
        <f>AND(N26&lt;=E26+0.000000001,K26-N26&gt;0.000000001)</f>
        <v/>
      </c>
      <c r="P26" s="17">
        <f>IF(O26,K26-N26,0)</f>
        <v/>
      </c>
      <c r="Q26" s="10" t="n">
        <v>4</v>
      </c>
      <c r="R26" s="10" t="n">
        <v>8</v>
      </c>
      <c r="S26" s="10">
        <f>IF(O26,MAX(CEILING(ROUND(P26/Q26,6),1)*Q26,CEILING(R26/Q26,1)*Q26),0)</f>
        <v/>
      </c>
      <c r="T26" s="12">
        <f>IF(D26&gt;0,L26/D26,"no demand")</f>
        <v/>
      </c>
      <c r="U26" s="10" t="n">
        <v>0</v>
      </c>
      <c r="V26" s="9">
        <f>IF(S26=U26,"OK","CHECK")</f>
        <v/>
      </c>
    </row>
    <row r="27">
      <c r="A27" s="9" t="inlineStr">
        <is>
          <t>SYN_HOBBIES_1_009_CA_1</t>
        </is>
      </c>
      <c r="B27" s="9" t="inlineStr">
        <is>
          <t>SYN_HOBBIES_1_009</t>
        </is>
      </c>
      <c r="C27" s="9" t="inlineStr">
        <is>
          <t>CA_1</t>
        </is>
      </c>
      <c r="D27" s="18">
        <f>'Safety Stock'!F27</f>
        <v/>
      </c>
      <c r="E27" s="17">
        <f>'Safety Stock'!T27</f>
        <v/>
      </c>
      <c r="F27" s="11" t="n">
        <v>6.38</v>
      </c>
      <c r="G27" s="11" t="n">
        <v>9</v>
      </c>
      <c r="H27" s="11">
        <f>F27*Assumptions!$C$9</f>
        <v/>
      </c>
      <c r="I27" s="12">
        <f>IF(AND(D27&gt;0,H27&gt;0),SQRT(2*365*D27*G27/H27),0)</f>
        <v/>
      </c>
      <c r="J27" s="12">
        <f>MIN(MAX(I27,D27*Assumptions!$C$6),D27*Assumptions!$C$11)</f>
        <v/>
      </c>
      <c r="K27" s="17">
        <f>E27+J27</f>
        <v/>
      </c>
      <c r="L27" s="10" t="n">
        <v>353</v>
      </c>
      <c r="M27" s="10" t="n">
        <v>0</v>
      </c>
      <c r="N27" s="10">
        <f>L27+M27</f>
        <v/>
      </c>
      <c r="O27" s="9">
        <f>AND(N27&lt;=E27+0.000000001,K27-N27&gt;0.000000001)</f>
        <v/>
      </c>
      <c r="P27" s="17">
        <f>IF(O27,K27-N27,0)</f>
        <v/>
      </c>
      <c r="Q27" s="10" t="n">
        <v>12</v>
      </c>
      <c r="R27" s="10" t="n">
        <v>24</v>
      </c>
      <c r="S27" s="10">
        <f>IF(O27,MAX(CEILING(ROUND(P27/Q27,6),1)*Q27,CEILING(R27/Q27,1)*Q27),0)</f>
        <v/>
      </c>
      <c r="T27" s="12">
        <f>IF(D27&gt;0,L27/D27,"no demand")</f>
        <v/>
      </c>
      <c r="U27" s="10" t="n">
        <v>0</v>
      </c>
      <c r="V27" s="9">
        <f>IF(S27=U27,"OK","CHECK")</f>
        <v/>
      </c>
    </row>
    <row r="28">
      <c r="A28" s="9" t="inlineStr">
        <is>
          <t>SYN_HOBBIES_2_001_CA_1</t>
        </is>
      </c>
      <c r="B28" s="9" t="inlineStr">
        <is>
          <t>SYN_HOBBIES_2_001</t>
        </is>
      </c>
      <c r="C28" s="9" t="inlineStr">
        <is>
          <t>CA_1</t>
        </is>
      </c>
      <c r="D28" s="18">
        <f>'Safety Stock'!F28</f>
        <v/>
      </c>
      <c r="E28" s="17">
        <f>'Safety Stock'!T28</f>
        <v/>
      </c>
      <c r="F28" s="11" t="n">
        <v>8.15</v>
      </c>
      <c r="G28" s="11" t="n">
        <v>9</v>
      </c>
      <c r="H28" s="11">
        <f>F28*Assumptions!$C$9</f>
        <v/>
      </c>
      <c r="I28" s="12">
        <f>IF(AND(D28&gt;0,H28&gt;0),SQRT(2*365*D28*G28/H28),0)</f>
        <v/>
      </c>
      <c r="J28" s="12">
        <f>MIN(MAX(I28,D28*Assumptions!$C$6),D28*Assumptions!$C$11)</f>
        <v/>
      </c>
      <c r="K28" s="17">
        <f>E28+J28</f>
        <v/>
      </c>
      <c r="L28" s="10" t="n">
        <v>108</v>
      </c>
      <c r="M28" s="10" t="n">
        <v>0</v>
      </c>
      <c r="N28" s="10">
        <f>L28+M28</f>
        <v/>
      </c>
      <c r="O28" s="9">
        <f>AND(N28&lt;=E28+0.000000001,K28-N28&gt;0.000000001)</f>
        <v/>
      </c>
      <c r="P28" s="17">
        <f>IF(O28,K28-N28,0)</f>
        <v/>
      </c>
      <c r="Q28" s="10" t="n">
        <v>6</v>
      </c>
      <c r="R28" s="10" t="n">
        <v>12</v>
      </c>
      <c r="S28" s="10">
        <f>IF(O28,MAX(CEILING(ROUND(P28/Q28,6),1)*Q28,CEILING(R28/Q28,1)*Q28),0)</f>
        <v/>
      </c>
      <c r="T28" s="12">
        <f>IF(D28&gt;0,L28/D28,"no demand")</f>
        <v/>
      </c>
      <c r="U28" s="10" t="n">
        <v>0</v>
      </c>
      <c r="V28" s="9">
        <f>IF(S28=U28,"OK","CHECK")</f>
        <v/>
      </c>
    </row>
    <row r="29">
      <c r="A29" s="9" t="inlineStr">
        <is>
          <t>SYN_HOBBIES_2_002_CA_1</t>
        </is>
      </c>
      <c r="B29" s="9" t="inlineStr">
        <is>
          <t>SYN_HOBBIES_2_002</t>
        </is>
      </c>
      <c r="C29" s="9" t="inlineStr">
        <is>
          <t>CA_1</t>
        </is>
      </c>
      <c r="D29" s="18">
        <f>'Safety Stock'!F29</f>
        <v/>
      </c>
      <c r="E29" s="17">
        <f>'Safety Stock'!T29</f>
        <v/>
      </c>
      <c r="F29" s="11" t="n">
        <v>8.380000000000001</v>
      </c>
      <c r="G29" s="11" t="n">
        <v>9</v>
      </c>
      <c r="H29" s="11">
        <f>F29*Assumptions!$C$9</f>
        <v/>
      </c>
      <c r="I29" s="12">
        <f>IF(AND(D29&gt;0,H29&gt;0),SQRT(2*365*D29*G29/H29),0)</f>
        <v/>
      </c>
      <c r="J29" s="12">
        <f>MIN(MAX(I29,D29*Assumptions!$C$6),D29*Assumptions!$C$11)</f>
        <v/>
      </c>
      <c r="K29" s="17">
        <f>E29+J29</f>
        <v/>
      </c>
      <c r="L29" s="10" t="n">
        <v>13</v>
      </c>
      <c r="M29" s="10" t="n">
        <v>0</v>
      </c>
      <c r="N29" s="10">
        <f>L29+M29</f>
        <v/>
      </c>
      <c r="O29" s="9">
        <f>AND(N29&lt;=E29+0.000000001,K29-N29&gt;0.000000001)</f>
        <v/>
      </c>
      <c r="P29" s="17">
        <f>IF(O29,K29-N29,0)</f>
        <v/>
      </c>
      <c r="Q29" s="10" t="n">
        <v>2</v>
      </c>
      <c r="R29" s="10" t="n">
        <v>4</v>
      </c>
      <c r="S29" s="10">
        <f>IF(O29,MAX(CEILING(ROUND(P29/Q29,6),1)*Q29,CEILING(R29/Q29,1)*Q29),0)</f>
        <v/>
      </c>
      <c r="T29" s="12">
        <f>IF(D29&gt;0,L29/D29,"no demand")</f>
        <v/>
      </c>
      <c r="U29" s="10" t="n">
        <v>24</v>
      </c>
      <c r="V29" s="9">
        <f>IF(S29=U29,"OK","CHECK")</f>
        <v/>
      </c>
    </row>
    <row r="30">
      <c r="A30" s="9" t="inlineStr">
        <is>
          <t>SYN_HOBBIES_2_004_CA_1</t>
        </is>
      </c>
      <c r="B30" s="9" t="inlineStr">
        <is>
          <t>SYN_HOBBIES_2_004</t>
        </is>
      </c>
      <c r="C30" s="9" t="inlineStr">
        <is>
          <t>CA_1</t>
        </is>
      </c>
      <c r="D30" s="18">
        <f>'Safety Stock'!F30</f>
        <v/>
      </c>
      <c r="E30" s="17">
        <f>'Safety Stock'!T30</f>
        <v/>
      </c>
      <c r="F30" s="11" t="n">
        <v>2.49</v>
      </c>
      <c r="G30" s="11" t="n">
        <v>9</v>
      </c>
      <c r="H30" s="11">
        <f>F30*Assumptions!$C$9</f>
        <v/>
      </c>
      <c r="I30" s="12">
        <f>IF(AND(D30&gt;0,H30&gt;0),SQRT(2*365*D30*G30/H30),0)</f>
        <v/>
      </c>
      <c r="J30" s="12">
        <f>MIN(MAX(I30,D30*Assumptions!$C$6),D30*Assumptions!$C$11)</f>
        <v/>
      </c>
      <c r="K30" s="17">
        <f>E30+J30</f>
        <v/>
      </c>
      <c r="L30" s="10" t="n">
        <v>712</v>
      </c>
      <c r="M30" s="10" t="n">
        <v>408</v>
      </c>
      <c r="N30" s="10">
        <f>L30+M30</f>
        <v/>
      </c>
      <c r="O30" s="9">
        <f>AND(N30&lt;=E30+0.000000001,K30-N30&gt;0.000000001)</f>
        <v/>
      </c>
      <c r="P30" s="17">
        <f>IF(O30,K30-N30,0)</f>
        <v/>
      </c>
      <c r="Q30" s="10" t="n">
        <v>12</v>
      </c>
      <c r="R30" s="10" t="n">
        <v>24</v>
      </c>
      <c r="S30" s="10">
        <f>IF(O30,MAX(CEILING(ROUND(P30/Q30,6),1)*Q30,CEILING(R30/Q30,1)*Q30),0)</f>
        <v/>
      </c>
      <c r="T30" s="12">
        <f>IF(D30&gt;0,L30/D30,"no demand")</f>
        <v/>
      </c>
      <c r="U30" s="10" t="n">
        <v>0</v>
      </c>
      <c r="V30" s="9">
        <f>IF(S30=U30,"OK","CHECK")</f>
        <v/>
      </c>
    </row>
    <row r="31">
      <c r="A31" s="9" t="inlineStr">
        <is>
          <t>SYN_HOBBIES_2_005_CA_1</t>
        </is>
      </c>
      <c r="B31" s="9" t="inlineStr">
        <is>
          <t>SYN_HOBBIES_2_005</t>
        </is>
      </c>
      <c r="C31" s="9" t="inlineStr">
        <is>
          <t>CA_1</t>
        </is>
      </c>
      <c r="D31" s="18">
        <f>'Safety Stock'!F31</f>
        <v/>
      </c>
      <c r="E31" s="17">
        <f>'Safety Stock'!T31</f>
        <v/>
      </c>
      <c r="F31" s="11" t="n">
        <v>4.5</v>
      </c>
      <c r="G31" s="11" t="n">
        <v>9</v>
      </c>
      <c r="H31" s="11">
        <f>F31*Assumptions!$C$9</f>
        <v/>
      </c>
      <c r="I31" s="12">
        <f>IF(AND(D31&gt;0,H31&gt;0),SQRT(2*365*D31*G31/H31),0)</f>
        <v/>
      </c>
      <c r="J31" s="12">
        <f>MIN(MAX(I31,D31*Assumptions!$C$6),D31*Assumptions!$C$11)</f>
        <v/>
      </c>
      <c r="K31" s="17">
        <f>E31+J31</f>
        <v/>
      </c>
      <c r="L31" s="10" t="n">
        <v>422</v>
      </c>
      <c r="M31" s="10" t="n">
        <v>480</v>
      </c>
      <c r="N31" s="10">
        <f>L31+M31</f>
        <v/>
      </c>
      <c r="O31" s="9">
        <f>AND(N31&lt;=E31+0.000000001,K31-N31&gt;0.000000001)</f>
        <v/>
      </c>
      <c r="P31" s="17">
        <f>IF(O31,K31-N31,0)</f>
        <v/>
      </c>
      <c r="Q31" s="10" t="n">
        <v>12</v>
      </c>
      <c r="R31" s="10" t="n">
        <v>24</v>
      </c>
      <c r="S31" s="10">
        <f>IF(O31,MAX(CEILING(ROUND(P31/Q31,6),1)*Q31,CEILING(R31/Q31,1)*Q31),0)</f>
        <v/>
      </c>
      <c r="T31" s="12">
        <f>IF(D31&gt;0,L31/D31,"no demand")</f>
        <v/>
      </c>
      <c r="U31" s="10" t="n">
        <v>0</v>
      </c>
      <c r="V31" s="9">
        <f>IF(S31=U31,"OK","CHECK")</f>
        <v/>
      </c>
    </row>
    <row r="32">
      <c r="A32" s="9" t="inlineStr">
        <is>
          <t>SYN_HOBBIES_2_006_CA_1</t>
        </is>
      </c>
      <c r="B32" s="9" t="inlineStr">
        <is>
          <t>SYN_HOBBIES_2_006</t>
        </is>
      </c>
      <c r="C32" s="9" t="inlineStr">
        <is>
          <t>CA_1</t>
        </is>
      </c>
      <c r="D32" s="18">
        <f>'Safety Stock'!F32</f>
        <v/>
      </c>
      <c r="E32" s="17">
        <f>'Safety Stock'!T32</f>
        <v/>
      </c>
      <c r="F32" s="11" t="n">
        <v>7.81</v>
      </c>
      <c r="G32" s="11" t="n">
        <v>9</v>
      </c>
      <c r="H32" s="11">
        <f>F32*Assumptions!$C$9</f>
        <v/>
      </c>
      <c r="I32" s="12">
        <f>IF(AND(D32&gt;0,H32&gt;0),SQRT(2*365*D32*G32/H32),0)</f>
        <v/>
      </c>
      <c r="J32" s="12">
        <f>MIN(MAX(I32,D32*Assumptions!$C$6),D32*Assumptions!$C$11)</f>
        <v/>
      </c>
      <c r="K32" s="17">
        <f>E32+J32</f>
        <v/>
      </c>
      <c r="L32" s="10" t="n">
        <v>354</v>
      </c>
      <c r="M32" s="10" t="n">
        <v>540</v>
      </c>
      <c r="N32" s="10">
        <f>L32+M32</f>
        <v/>
      </c>
      <c r="O32" s="9">
        <f>AND(N32&lt;=E32+0.000000001,K32-N32&gt;0.000000001)</f>
        <v/>
      </c>
      <c r="P32" s="17">
        <f>IF(O32,K32-N32,0)</f>
        <v/>
      </c>
      <c r="Q32" s="10" t="n">
        <v>12</v>
      </c>
      <c r="R32" s="10" t="n">
        <v>24</v>
      </c>
      <c r="S32" s="10">
        <f>IF(O32,MAX(CEILING(ROUND(P32/Q32,6),1)*Q32,CEILING(R32/Q32,1)*Q32),0)</f>
        <v/>
      </c>
      <c r="T32" s="12">
        <f>IF(D32&gt;0,L32/D32,"no demand")</f>
        <v/>
      </c>
      <c r="U32" s="10" t="n">
        <v>0</v>
      </c>
      <c r="V32" s="9">
        <f>IF(S32=U32,"OK","CHECK")</f>
        <v/>
      </c>
    </row>
    <row r="33">
      <c r="A33" s="9" t="inlineStr">
        <is>
          <t>SYN_HOBBIES_2_007_CA_1</t>
        </is>
      </c>
      <c r="B33" s="9" t="inlineStr">
        <is>
          <t>SYN_HOBBIES_2_007</t>
        </is>
      </c>
      <c r="C33" s="9" t="inlineStr">
        <is>
          <t>CA_1</t>
        </is>
      </c>
      <c r="D33" s="18">
        <f>'Safety Stock'!F33</f>
        <v/>
      </c>
      <c r="E33" s="17">
        <f>'Safety Stock'!T33</f>
        <v/>
      </c>
      <c r="F33" s="11" t="n">
        <v>2.07</v>
      </c>
      <c r="G33" s="11" t="n">
        <v>9</v>
      </c>
      <c r="H33" s="11">
        <f>F33*Assumptions!$C$9</f>
        <v/>
      </c>
      <c r="I33" s="12">
        <f>IF(AND(D33&gt;0,H33&gt;0),SQRT(2*365*D33*G33/H33),0)</f>
        <v/>
      </c>
      <c r="J33" s="12">
        <f>MIN(MAX(I33,D33*Assumptions!$C$6),D33*Assumptions!$C$11)</f>
        <v/>
      </c>
      <c r="K33" s="17">
        <f>E33+J33</f>
        <v/>
      </c>
      <c r="L33" s="10" t="n">
        <v>13</v>
      </c>
      <c r="M33" s="10" t="n">
        <v>0</v>
      </c>
      <c r="N33" s="10">
        <f>L33+M33</f>
        <v/>
      </c>
      <c r="O33" s="9">
        <f>AND(N33&lt;=E33+0.000000001,K33-N33&gt;0.000000001)</f>
        <v/>
      </c>
      <c r="P33" s="17">
        <f>IF(O33,K33-N33,0)</f>
        <v/>
      </c>
      <c r="Q33" s="10" t="n">
        <v>2</v>
      </c>
      <c r="R33" s="10" t="n">
        <v>4</v>
      </c>
      <c r="S33" s="10">
        <f>IF(O33,MAX(CEILING(ROUND(P33/Q33,6),1)*Q33,CEILING(R33/Q33,1)*Q33),0)</f>
        <v/>
      </c>
      <c r="T33" s="12">
        <f>IF(D33&gt;0,L33/D33,"no demand")</f>
        <v/>
      </c>
      <c r="U33" s="10" t="n">
        <v>70</v>
      </c>
      <c r="V33" s="9">
        <f>IF(S33=U33,"OK","CHECK")</f>
        <v/>
      </c>
    </row>
    <row r="34">
      <c r="A34" s="9" t="inlineStr">
        <is>
          <t>SYN_HOBBIES_2_009_CA_1</t>
        </is>
      </c>
      <c r="B34" s="9" t="inlineStr">
        <is>
          <t>SYN_HOBBIES_2_009</t>
        </is>
      </c>
      <c r="C34" s="9" t="inlineStr">
        <is>
          <t>CA_1</t>
        </is>
      </c>
      <c r="D34" s="18">
        <f>'Safety Stock'!F34</f>
        <v/>
      </c>
      <c r="E34" s="17">
        <f>'Safety Stock'!T34</f>
        <v/>
      </c>
      <c r="F34" s="11" t="n">
        <v>8.869999999999999</v>
      </c>
      <c r="G34" s="11" t="n">
        <v>9</v>
      </c>
      <c r="H34" s="11">
        <f>F34*Assumptions!$C$9</f>
        <v/>
      </c>
      <c r="I34" s="12">
        <f>IF(AND(D34&gt;0,H34&gt;0),SQRT(2*365*D34*G34/H34),0)</f>
        <v/>
      </c>
      <c r="J34" s="12">
        <f>MIN(MAX(I34,D34*Assumptions!$C$6),D34*Assumptions!$C$11)</f>
        <v/>
      </c>
      <c r="K34" s="17">
        <f>E34+J34</f>
        <v/>
      </c>
      <c r="L34" s="10" t="n">
        <v>133</v>
      </c>
      <c r="M34" s="10" t="n">
        <v>0</v>
      </c>
      <c r="N34" s="10">
        <f>L34+M34</f>
        <v/>
      </c>
      <c r="O34" s="9">
        <f>AND(N34&lt;=E34+0.000000001,K34-N34&gt;0.000000001)</f>
        <v/>
      </c>
      <c r="P34" s="17">
        <f>IF(O34,K34-N34,0)</f>
        <v/>
      </c>
      <c r="Q34" s="10" t="n">
        <v>12</v>
      </c>
      <c r="R34" s="10" t="n">
        <v>24</v>
      </c>
      <c r="S34" s="10">
        <f>IF(O34,MAX(CEILING(ROUND(P34/Q34,6),1)*Q34,CEILING(R34/Q34,1)*Q34),0)</f>
        <v/>
      </c>
      <c r="T34" s="12">
        <f>IF(D34&gt;0,L34/D34,"no demand")</f>
        <v/>
      </c>
      <c r="U34" s="10" t="n">
        <v>156</v>
      </c>
      <c r="V34" s="9">
        <f>IF(S34=U34,"OK","CHECK")</f>
        <v/>
      </c>
    </row>
    <row r="35">
      <c r="A35" s="9" t="inlineStr">
        <is>
          <t>SYN_HOUSEHOLD_1_001_CA_1</t>
        </is>
      </c>
      <c r="B35" s="9" t="inlineStr">
        <is>
          <t>SYN_HOUSEHOLD_1_001</t>
        </is>
      </c>
      <c r="C35" s="9" t="inlineStr">
        <is>
          <t>CA_1</t>
        </is>
      </c>
      <c r="D35" s="18">
        <f>'Safety Stock'!F35</f>
        <v/>
      </c>
      <c r="E35" s="17">
        <f>'Safety Stock'!T35</f>
        <v/>
      </c>
      <c r="F35" s="11" t="n">
        <v>1.21</v>
      </c>
      <c r="G35" s="11" t="n">
        <v>7</v>
      </c>
      <c r="H35" s="11">
        <f>F35*Assumptions!$C$9</f>
        <v/>
      </c>
      <c r="I35" s="12">
        <f>IF(AND(D35&gt;0,H35&gt;0),SQRT(2*365*D35*G35/H35),0)</f>
        <v/>
      </c>
      <c r="J35" s="12">
        <f>MIN(MAX(I35,D35*Assumptions!$C$6),D35*Assumptions!$C$11)</f>
        <v/>
      </c>
      <c r="K35" s="17">
        <f>E35+J35</f>
        <v/>
      </c>
      <c r="L35" s="10" t="n">
        <v>14</v>
      </c>
      <c r="M35" s="10" t="n">
        <v>0</v>
      </c>
      <c r="N35" s="10">
        <f>L35+M35</f>
        <v/>
      </c>
      <c r="O35" s="9">
        <f>AND(N35&lt;=E35+0.000000001,K35-N35&gt;0.000000001)</f>
        <v/>
      </c>
      <c r="P35" s="17">
        <f>IF(O35,K35-N35,0)</f>
        <v/>
      </c>
      <c r="Q35" s="10" t="n">
        <v>2</v>
      </c>
      <c r="R35" s="10" t="n">
        <v>2</v>
      </c>
      <c r="S35" s="10">
        <f>IF(O35,MAX(CEILING(ROUND(P35/Q35,6),1)*Q35,CEILING(R35/Q35,1)*Q35),0)</f>
        <v/>
      </c>
      <c r="T35" s="12">
        <f>IF(D35&gt;0,L35/D35,"no demand")</f>
        <v/>
      </c>
      <c r="U35" s="10" t="n">
        <v>0</v>
      </c>
      <c r="V35" s="9">
        <f>IF(S35=U35,"OK","CHECK")</f>
        <v/>
      </c>
    </row>
    <row r="36">
      <c r="A36" s="9" t="inlineStr">
        <is>
          <t>SYN_HOUSEHOLD_1_007_CA_1</t>
        </is>
      </c>
      <c r="B36" s="9" t="inlineStr">
        <is>
          <t>SYN_HOUSEHOLD_1_007</t>
        </is>
      </c>
      <c r="C36" s="9" t="inlineStr">
        <is>
          <t>CA_1</t>
        </is>
      </c>
      <c r="D36" s="18">
        <f>'Safety Stock'!F36</f>
        <v/>
      </c>
      <c r="E36" s="17">
        <f>'Safety Stock'!T36</f>
        <v/>
      </c>
      <c r="F36" s="11" t="n">
        <v>2.65</v>
      </c>
      <c r="G36" s="11" t="n">
        <v>7</v>
      </c>
      <c r="H36" s="11">
        <f>F36*Assumptions!$C$9</f>
        <v/>
      </c>
      <c r="I36" s="12">
        <f>IF(AND(D36&gt;0,H36&gt;0),SQRT(2*365*D36*G36/H36),0)</f>
        <v/>
      </c>
      <c r="J36" s="12">
        <f>MIN(MAX(I36,D36*Assumptions!$C$6),D36*Assumptions!$C$11)</f>
        <v/>
      </c>
      <c r="K36" s="17">
        <f>E36+J36</f>
        <v/>
      </c>
      <c r="L36" s="10" t="n">
        <v>0</v>
      </c>
      <c r="M36" s="10" t="n">
        <v>192</v>
      </c>
      <c r="N36" s="10">
        <f>L36+M36</f>
        <v/>
      </c>
      <c r="O36" s="9">
        <f>AND(N36&lt;=E36+0.000000001,K36-N36&gt;0.000000001)</f>
        <v/>
      </c>
      <c r="P36" s="17">
        <f>IF(O36,K36-N36,0)</f>
        <v/>
      </c>
      <c r="Q36" s="10" t="n">
        <v>12</v>
      </c>
      <c r="R36" s="10" t="n">
        <v>12</v>
      </c>
      <c r="S36" s="10">
        <f>IF(O36,MAX(CEILING(ROUND(P36/Q36,6),1)*Q36,CEILING(R36/Q36,1)*Q36),0)</f>
        <v/>
      </c>
      <c r="T36" s="12">
        <f>IF(D36&gt;0,L36/D36,"no demand")</f>
        <v/>
      </c>
      <c r="U36" s="10" t="n">
        <v>324</v>
      </c>
      <c r="V36" s="9">
        <f>IF(S36=U36,"OK","CHECK")</f>
        <v/>
      </c>
    </row>
    <row r="37">
      <c r="A37" s="9" t="inlineStr">
        <is>
          <t>SYN_HOUSEHOLD_1_008_CA_1</t>
        </is>
      </c>
      <c r="B37" s="9" t="inlineStr">
        <is>
          <t>SYN_HOUSEHOLD_1_008</t>
        </is>
      </c>
      <c r="C37" s="9" t="inlineStr">
        <is>
          <t>CA_1</t>
        </is>
      </c>
      <c r="D37" s="18">
        <f>'Safety Stock'!F37</f>
        <v/>
      </c>
      <c r="E37" s="17">
        <f>'Safety Stock'!T37</f>
        <v/>
      </c>
      <c r="F37" s="11" t="n">
        <v>2.17</v>
      </c>
      <c r="G37" s="11" t="n">
        <v>7</v>
      </c>
      <c r="H37" s="11">
        <f>F37*Assumptions!$C$9</f>
        <v/>
      </c>
      <c r="I37" s="12">
        <f>IF(AND(D37&gt;0,H37&gt;0),SQRT(2*365*D37*G37/H37),0)</f>
        <v/>
      </c>
      <c r="J37" s="12">
        <f>MIN(MAX(I37,D37*Assumptions!$C$6),D37*Assumptions!$C$11)</f>
        <v/>
      </c>
      <c r="K37" s="17">
        <f>E37+J37</f>
        <v/>
      </c>
      <c r="L37" s="10" t="n">
        <v>43</v>
      </c>
      <c r="M37" s="10" t="n">
        <v>0</v>
      </c>
      <c r="N37" s="10">
        <f>L37+M37</f>
        <v/>
      </c>
      <c r="O37" s="9">
        <f>AND(N37&lt;=E37+0.000000001,K37-N37&gt;0.000000001)</f>
        <v/>
      </c>
      <c r="P37" s="17">
        <f>IF(O37,K37-N37,0)</f>
        <v/>
      </c>
      <c r="Q37" s="10" t="n">
        <v>12</v>
      </c>
      <c r="R37" s="10" t="n">
        <v>12</v>
      </c>
      <c r="S37" s="10">
        <f>IF(O37,MAX(CEILING(ROUND(P37/Q37,6),1)*Q37,CEILING(R37/Q37,1)*Q37),0)</f>
        <v/>
      </c>
      <c r="T37" s="12">
        <f>IF(D37&gt;0,L37/D37,"no demand")</f>
        <v/>
      </c>
      <c r="U37" s="10" t="n">
        <v>96</v>
      </c>
      <c r="V37" s="9">
        <f>IF(S37=U37,"OK","CHECK")</f>
        <v/>
      </c>
    </row>
    <row r="38">
      <c r="A38" s="9" t="inlineStr">
        <is>
          <t>SYN_HOUSEHOLD_1_009_CA_1</t>
        </is>
      </c>
      <c r="B38" s="9" t="inlineStr">
        <is>
          <t>SYN_HOUSEHOLD_1_009</t>
        </is>
      </c>
      <c r="C38" s="9" t="inlineStr">
        <is>
          <t>CA_1</t>
        </is>
      </c>
      <c r="D38" s="18">
        <f>'Safety Stock'!F38</f>
        <v/>
      </c>
      <c r="E38" s="17">
        <f>'Safety Stock'!T38</f>
        <v/>
      </c>
      <c r="F38" s="11" t="n">
        <v>11.99</v>
      </c>
      <c r="G38" s="11" t="n">
        <v>7</v>
      </c>
      <c r="H38" s="11">
        <f>F38*Assumptions!$C$9</f>
        <v/>
      </c>
      <c r="I38" s="12">
        <f>IF(AND(D38&gt;0,H38&gt;0),SQRT(2*365*D38*G38/H38),0)</f>
        <v/>
      </c>
      <c r="J38" s="12">
        <f>MIN(MAX(I38,D38*Assumptions!$C$6),D38*Assumptions!$C$11)</f>
        <v/>
      </c>
      <c r="K38" s="17">
        <f>E38+J38</f>
        <v/>
      </c>
      <c r="L38" s="10" t="n">
        <v>168</v>
      </c>
      <c r="M38" s="10" t="n">
        <v>228</v>
      </c>
      <c r="N38" s="10">
        <f>L38+M38</f>
        <v/>
      </c>
      <c r="O38" s="9">
        <f>AND(N38&lt;=E38+0.000000001,K38-N38&gt;0.000000001)</f>
        <v/>
      </c>
      <c r="P38" s="17">
        <f>IF(O38,K38-N38,0)</f>
        <v/>
      </c>
      <c r="Q38" s="10" t="n">
        <v>12</v>
      </c>
      <c r="R38" s="10" t="n">
        <v>12</v>
      </c>
      <c r="S38" s="10">
        <f>IF(O38,MAX(CEILING(ROUND(P38/Q38,6),1)*Q38,CEILING(R38/Q38,1)*Q38),0)</f>
        <v/>
      </c>
      <c r="T38" s="12">
        <f>IF(D38&gt;0,L38/D38,"no demand")</f>
        <v/>
      </c>
      <c r="U38" s="10" t="n">
        <v>0</v>
      </c>
      <c r="V38" s="9">
        <f>IF(S38=U38,"OK","CHECK")</f>
        <v/>
      </c>
    </row>
    <row r="39">
      <c r="A39" s="9" t="inlineStr">
        <is>
          <t>SYN_HOUSEHOLD_2_001_CA_1</t>
        </is>
      </c>
      <c r="B39" s="9" t="inlineStr">
        <is>
          <t>SYN_HOUSEHOLD_2_001</t>
        </is>
      </c>
      <c r="C39" s="9" t="inlineStr">
        <is>
          <t>CA_1</t>
        </is>
      </c>
      <c r="D39" s="18">
        <f>'Safety Stock'!F39</f>
        <v/>
      </c>
      <c r="E39" s="17">
        <f>'Safety Stock'!T39</f>
        <v/>
      </c>
      <c r="F39" s="11" t="n">
        <v>9.81</v>
      </c>
      <c r="G39" s="11" t="n">
        <v>8</v>
      </c>
      <c r="H39" s="11">
        <f>F39*Assumptions!$C$9</f>
        <v/>
      </c>
      <c r="I39" s="12">
        <f>IF(AND(D39&gt;0,H39&gt;0),SQRT(2*365*D39*G39/H39),0)</f>
        <v/>
      </c>
      <c r="J39" s="12">
        <f>MIN(MAX(I39,D39*Assumptions!$C$6),D39*Assumptions!$C$11)</f>
        <v/>
      </c>
      <c r="K39" s="17">
        <f>E39+J39</f>
        <v/>
      </c>
      <c r="L39" s="10" t="n">
        <v>509</v>
      </c>
      <c r="M39" s="10" t="n">
        <v>0</v>
      </c>
      <c r="N39" s="10">
        <f>L39+M39</f>
        <v/>
      </c>
      <c r="O39" s="9">
        <f>AND(N39&lt;=E39+0.000000001,K39-N39&gt;0.000000001)</f>
        <v/>
      </c>
      <c r="P39" s="17">
        <f>IF(O39,K39-N39,0)</f>
        <v/>
      </c>
      <c r="Q39" s="10" t="n">
        <v>12</v>
      </c>
      <c r="R39" s="10" t="n">
        <v>12</v>
      </c>
      <c r="S39" s="10">
        <f>IF(O39,MAX(CEILING(ROUND(P39/Q39,6),1)*Q39,CEILING(R39/Q39,1)*Q39),0)</f>
        <v/>
      </c>
      <c r="T39" s="12">
        <f>IF(D39&gt;0,L39/D39,"no demand")</f>
        <v/>
      </c>
      <c r="U39" s="10" t="n">
        <v>0</v>
      </c>
      <c r="V39" s="9">
        <f>IF(S39=U39,"OK","CHECK")</f>
        <v/>
      </c>
    </row>
    <row r="40">
      <c r="A40" s="9" t="inlineStr">
        <is>
          <t>SYN_HOUSEHOLD_2_003_CA_1</t>
        </is>
      </c>
      <c r="B40" s="9" t="inlineStr">
        <is>
          <t>SYN_HOUSEHOLD_2_003</t>
        </is>
      </c>
      <c r="C40" s="9" t="inlineStr">
        <is>
          <t>CA_1</t>
        </is>
      </c>
      <c r="D40" s="18">
        <f>'Safety Stock'!F40</f>
        <v/>
      </c>
      <c r="E40" s="17">
        <f>'Safety Stock'!T40</f>
        <v/>
      </c>
      <c r="F40" s="11" t="n">
        <v>9.94</v>
      </c>
      <c r="G40" s="11" t="n">
        <v>8</v>
      </c>
      <c r="H40" s="11">
        <f>F40*Assumptions!$C$9</f>
        <v/>
      </c>
      <c r="I40" s="12">
        <f>IF(AND(D40&gt;0,H40&gt;0),SQRT(2*365*D40*G40/H40),0)</f>
        <v/>
      </c>
      <c r="J40" s="12">
        <f>MIN(MAX(I40,D40*Assumptions!$C$6),D40*Assumptions!$C$11)</f>
        <v/>
      </c>
      <c r="K40" s="17">
        <f>E40+J40</f>
        <v/>
      </c>
      <c r="L40" s="10" t="n">
        <v>90</v>
      </c>
      <c r="M40" s="10" t="n">
        <v>0</v>
      </c>
      <c r="N40" s="10">
        <f>L40+M40</f>
        <v/>
      </c>
      <c r="O40" s="9">
        <f>AND(N40&lt;=E40+0.000000001,K40-N40&gt;0.000000001)</f>
        <v/>
      </c>
      <c r="P40" s="17">
        <f>IF(O40,K40-N40,0)</f>
        <v/>
      </c>
      <c r="Q40" s="10" t="n">
        <v>6</v>
      </c>
      <c r="R40" s="10" t="n">
        <v>6</v>
      </c>
      <c r="S40" s="10">
        <f>IF(O40,MAX(CEILING(ROUND(P40/Q40,6),1)*Q40,CEILING(R40/Q40,1)*Q40),0)</f>
        <v/>
      </c>
      <c r="T40" s="12">
        <f>IF(D40&gt;0,L40/D40,"no demand")</f>
        <v/>
      </c>
      <c r="U40" s="10" t="n">
        <v>150</v>
      </c>
      <c r="V40" s="9">
        <f>IF(S40=U40,"OK","CHECK")</f>
        <v/>
      </c>
    </row>
    <row r="41">
      <c r="A41" s="9" t="inlineStr">
        <is>
          <t>SYN_HOUSEHOLD_2_004_CA_1</t>
        </is>
      </c>
      <c r="B41" s="9" t="inlineStr">
        <is>
          <t>SYN_HOUSEHOLD_2_004</t>
        </is>
      </c>
      <c r="C41" s="9" t="inlineStr">
        <is>
          <t>CA_1</t>
        </is>
      </c>
      <c r="D41" s="18">
        <f>'Safety Stock'!F41</f>
        <v/>
      </c>
      <c r="E41" s="17">
        <f>'Safety Stock'!T41</f>
        <v/>
      </c>
      <c r="F41" s="11" t="n">
        <v>6.05</v>
      </c>
      <c r="G41" s="11" t="n">
        <v>8</v>
      </c>
      <c r="H41" s="11">
        <f>F41*Assumptions!$C$9</f>
        <v/>
      </c>
      <c r="I41" s="12">
        <f>IF(AND(D41&gt;0,H41&gt;0),SQRT(2*365*D41*G41/H41),0)</f>
        <v/>
      </c>
      <c r="J41" s="12">
        <f>MIN(MAX(I41,D41*Assumptions!$C$6),D41*Assumptions!$C$11)</f>
        <v/>
      </c>
      <c r="K41" s="17">
        <f>E41+J41</f>
        <v/>
      </c>
      <c r="L41" s="10" t="n">
        <v>282</v>
      </c>
      <c r="M41" s="10" t="n">
        <v>276</v>
      </c>
      <c r="N41" s="10">
        <f>L41+M41</f>
        <v/>
      </c>
      <c r="O41" s="9">
        <f>AND(N41&lt;=E41+0.000000001,K41-N41&gt;0.000000001)</f>
        <v/>
      </c>
      <c r="P41" s="17">
        <f>IF(O41,K41-N41,0)</f>
        <v/>
      </c>
      <c r="Q41" s="10" t="n">
        <v>12</v>
      </c>
      <c r="R41" s="10" t="n">
        <v>12</v>
      </c>
      <c r="S41" s="10">
        <f>IF(O41,MAX(CEILING(ROUND(P41/Q41,6),1)*Q41,CEILING(R41/Q41,1)*Q41),0)</f>
        <v/>
      </c>
      <c r="T41" s="12">
        <f>IF(D41&gt;0,L41/D41,"no demand")</f>
        <v/>
      </c>
      <c r="U41" s="10" t="n">
        <v>0</v>
      </c>
      <c r="V41" s="9">
        <f>IF(S41=U41,"OK","CHECK")</f>
        <v/>
      </c>
    </row>
    <row r="42">
      <c r="A42" s="9" t="inlineStr">
        <is>
          <t>SYN_HOUSEHOLD_2_005_CA_1</t>
        </is>
      </c>
      <c r="B42" s="9" t="inlineStr">
        <is>
          <t>SYN_HOUSEHOLD_2_005</t>
        </is>
      </c>
      <c r="C42" s="9" t="inlineStr">
        <is>
          <t>CA_1</t>
        </is>
      </c>
      <c r="D42" s="18">
        <f>'Safety Stock'!F42</f>
        <v/>
      </c>
      <c r="E42" s="17">
        <f>'Safety Stock'!T42</f>
        <v/>
      </c>
      <c r="F42" s="11" t="n">
        <v>12.02</v>
      </c>
      <c r="G42" s="11" t="n">
        <v>8</v>
      </c>
      <c r="H42" s="11">
        <f>F42*Assumptions!$C$9</f>
        <v/>
      </c>
      <c r="I42" s="12">
        <f>IF(AND(D42&gt;0,H42&gt;0),SQRT(2*365*D42*G42/H42),0)</f>
        <v/>
      </c>
      <c r="J42" s="12">
        <f>MIN(MAX(I42,D42*Assumptions!$C$6),D42*Assumptions!$C$11)</f>
        <v/>
      </c>
      <c r="K42" s="17">
        <f>E42+J42</f>
        <v/>
      </c>
      <c r="L42" s="10" t="n">
        <v>29</v>
      </c>
      <c r="M42" s="10" t="n">
        <v>0</v>
      </c>
      <c r="N42" s="10">
        <f>L42+M42</f>
        <v/>
      </c>
      <c r="O42" s="9">
        <f>AND(N42&lt;=E42+0.000000001,K42-N42&gt;0.000000001)</f>
        <v/>
      </c>
      <c r="P42" s="17">
        <f>IF(O42,K42-N42,0)</f>
        <v/>
      </c>
      <c r="Q42" s="10" t="n">
        <v>4</v>
      </c>
      <c r="R42" s="10" t="n">
        <v>4</v>
      </c>
      <c r="S42" s="10">
        <f>IF(O42,MAX(CEILING(ROUND(P42/Q42,6),1)*Q42,CEILING(R42/Q42,1)*Q42),0)</f>
        <v/>
      </c>
      <c r="T42" s="12">
        <f>IF(D42&gt;0,L42/D42,"no demand")</f>
        <v/>
      </c>
      <c r="U42" s="10" t="n">
        <v>0</v>
      </c>
      <c r="V42" s="9">
        <f>IF(S42=U42,"OK","CHECK")</f>
        <v/>
      </c>
    </row>
    <row r="43">
      <c r="A43" s="9" t="inlineStr">
        <is>
          <t>SYN_HOUSEHOLD_2_006_CA_1</t>
        </is>
      </c>
      <c r="B43" s="9" t="inlineStr">
        <is>
          <t>SYN_HOUSEHOLD_2_006</t>
        </is>
      </c>
      <c r="C43" s="9" t="inlineStr">
        <is>
          <t>CA_1</t>
        </is>
      </c>
      <c r="D43" s="18">
        <f>'Safety Stock'!F43</f>
        <v/>
      </c>
      <c r="E43" s="17">
        <f>'Safety Stock'!T43</f>
        <v/>
      </c>
      <c r="F43" s="11" t="n">
        <v>8.199999999999999</v>
      </c>
      <c r="G43" s="11" t="n">
        <v>8</v>
      </c>
      <c r="H43" s="11">
        <f>F43*Assumptions!$C$9</f>
        <v/>
      </c>
      <c r="I43" s="12">
        <f>IF(AND(D43&gt;0,H43&gt;0),SQRT(2*365*D43*G43/H43),0)</f>
        <v/>
      </c>
      <c r="J43" s="12">
        <f>MIN(MAX(I43,D43*Assumptions!$C$6),D43*Assumptions!$C$11)</f>
        <v/>
      </c>
      <c r="K43" s="17">
        <f>E43+J43</f>
        <v/>
      </c>
      <c r="L43" s="10" t="n">
        <v>179</v>
      </c>
      <c r="M43" s="10" t="n">
        <v>0</v>
      </c>
      <c r="N43" s="10">
        <f>L43+M43</f>
        <v/>
      </c>
      <c r="O43" s="9">
        <f>AND(N43&lt;=E43+0.000000001,K43-N43&gt;0.000000001)</f>
        <v/>
      </c>
      <c r="P43" s="17">
        <f>IF(O43,K43-N43,0)</f>
        <v/>
      </c>
      <c r="Q43" s="10" t="n">
        <v>12</v>
      </c>
      <c r="R43" s="10" t="n">
        <v>12</v>
      </c>
      <c r="S43" s="10">
        <f>IF(O43,MAX(CEILING(ROUND(P43/Q43,6),1)*Q43,CEILING(R43/Q43,1)*Q43),0)</f>
        <v/>
      </c>
      <c r="T43" s="12">
        <f>IF(D43&gt;0,L43/D43,"no demand")</f>
        <v/>
      </c>
      <c r="U43" s="10" t="n">
        <v>0</v>
      </c>
      <c r="V43" s="9">
        <f>IF(S43=U43,"OK","CHECK")</f>
        <v/>
      </c>
    </row>
    <row r="44">
      <c r="A44" s="9" t="inlineStr">
        <is>
          <t>SYN_HOUSEHOLD_2_007_CA_1</t>
        </is>
      </c>
      <c r="B44" s="9" t="inlineStr">
        <is>
          <t>SYN_HOUSEHOLD_2_007</t>
        </is>
      </c>
      <c r="C44" s="9" t="inlineStr">
        <is>
          <t>CA_1</t>
        </is>
      </c>
      <c r="D44" s="18">
        <f>'Safety Stock'!F44</f>
        <v/>
      </c>
      <c r="E44" s="17">
        <f>'Safety Stock'!T44</f>
        <v/>
      </c>
      <c r="F44" s="11" t="n">
        <v>12.31</v>
      </c>
      <c r="G44" s="11" t="n">
        <v>8</v>
      </c>
      <c r="H44" s="11">
        <f>F44*Assumptions!$C$9</f>
        <v/>
      </c>
      <c r="I44" s="12">
        <f>IF(AND(D44&gt;0,H44&gt;0),SQRT(2*365*D44*G44/H44),0)</f>
        <v/>
      </c>
      <c r="J44" s="12">
        <f>MIN(MAX(I44,D44*Assumptions!$C$6),D44*Assumptions!$C$11)</f>
        <v/>
      </c>
      <c r="K44" s="17">
        <f>E44+J44</f>
        <v/>
      </c>
      <c r="L44" s="10" t="n">
        <v>24</v>
      </c>
      <c r="M44" s="10" t="n">
        <v>0</v>
      </c>
      <c r="N44" s="10">
        <f>L44+M44</f>
        <v/>
      </c>
      <c r="O44" s="9">
        <f>AND(N44&lt;=E44+0.000000001,K44-N44&gt;0.000000001)</f>
        <v/>
      </c>
      <c r="P44" s="17">
        <f>IF(O44,K44-N44,0)</f>
        <v/>
      </c>
      <c r="Q44" s="10" t="n">
        <v>4</v>
      </c>
      <c r="R44" s="10" t="n">
        <v>4</v>
      </c>
      <c r="S44" s="10">
        <f>IF(O44,MAX(CEILING(ROUND(P44/Q44,6),1)*Q44,CEILING(R44/Q44,1)*Q44),0)</f>
        <v/>
      </c>
      <c r="T44" s="12">
        <f>IF(D44&gt;0,L44/D44,"no demand")</f>
        <v/>
      </c>
      <c r="U44" s="10" t="n">
        <v>28</v>
      </c>
      <c r="V44" s="9">
        <f>IF(S44=U44,"OK","CHECK")</f>
        <v/>
      </c>
    </row>
    <row r="45">
      <c r="A45" s="9" t="inlineStr">
        <is>
          <t>SYN_FOODS_1_001_CA_2</t>
        </is>
      </c>
      <c r="B45" s="9" t="inlineStr">
        <is>
          <t>SYN_FOODS_1_001</t>
        </is>
      </c>
      <c r="C45" s="9" t="inlineStr">
        <is>
          <t>CA_2</t>
        </is>
      </c>
      <c r="D45" s="18">
        <f>'Safety Stock'!F45</f>
        <v/>
      </c>
      <c r="E45" s="17">
        <f>'Safety Stock'!T45</f>
        <v/>
      </c>
      <c r="F45" s="11" t="n">
        <v>3.77</v>
      </c>
      <c r="G45" s="11" t="n">
        <v>6</v>
      </c>
      <c r="H45" s="11">
        <f>F45*Assumptions!$C$9</f>
        <v/>
      </c>
      <c r="I45" s="12">
        <f>IF(AND(D45&gt;0,H45&gt;0),SQRT(2*365*D45*G45/H45),0)</f>
        <v/>
      </c>
      <c r="J45" s="12">
        <f>MIN(MAX(I45,D45*Assumptions!$C$6),D45*Assumptions!$C$11)</f>
        <v/>
      </c>
      <c r="K45" s="17">
        <f>E45+J45</f>
        <v/>
      </c>
      <c r="L45" s="10" t="n">
        <v>112</v>
      </c>
      <c r="M45" s="10" t="n">
        <v>0</v>
      </c>
      <c r="N45" s="10">
        <f>L45+M45</f>
        <v/>
      </c>
      <c r="O45" s="9">
        <f>AND(N45&lt;=E45+0.000000001,K45-N45&gt;0.000000001)</f>
        <v/>
      </c>
      <c r="P45" s="17">
        <f>IF(O45,K45-N45,0)</f>
        <v/>
      </c>
      <c r="Q45" s="10" t="n">
        <v>12</v>
      </c>
      <c r="R45" s="10" t="n">
        <v>12</v>
      </c>
      <c r="S45" s="10">
        <f>IF(O45,MAX(CEILING(ROUND(P45/Q45,6),1)*Q45,CEILING(R45/Q45,1)*Q45),0)</f>
        <v/>
      </c>
      <c r="T45" s="12">
        <f>IF(D45&gt;0,L45/D45,"no demand")</f>
        <v/>
      </c>
      <c r="U45" s="10" t="n">
        <v>216</v>
      </c>
      <c r="V45" s="9">
        <f>IF(S45=U45,"OK","CHECK")</f>
        <v/>
      </c>
    </row>
    <row r="46">
      <c r="A46" s="9" t="inlineStr">
        <is>
          <t>SYN_FOODS_1_002_CA_2</t>
        </is>
      </c>
      <c r="B46" s="9" t="inlineStr">
        <is>
          <t>SYN_FOODS_1_002</t>
        </is>
      </c>
      <c r="C46" s="9" t="inlineStr">
        <is>
          <t>CA_2</t>
        </is>
      </c>
      <c r="D46" s="18">
        <f>'Safety Stock'!F46</f>
        <v/>
      </c>
      <c r="E46" s="17">
        <f>'Safety Stock'!T46</f>
        <v/>
      </c>
      <c r="F46" s="11" t="n">
        <v>1.71</v>
      </c>
      <c r="G46" s="11" t="n">
        <v>6</v>
      </c>
      <c r="H46" s="11">
        <f>F46*Assumptions!$C$9</f>
        <v/>
      </c>
      <c r="I46" s="12">
        <f>IF(AND(D46&gt;0,H46&gt;0),SQRT(2*365*D46*G46/H46),0)</f>
        <v/>
      </c>
      <c r="J46" s="12">
        <f>MIN(MAX(I46,D46*Assumptions!$C$6),D46*Assumptions!$C$11)</f>
        <v/>
      </c>
      <c r="K46" s="17">
        <f>E46+J46</f>
        <v/>
      </c>
      <c r="L46" s="10" t="n">
        <v>211</v>
      </c>
      <c r="M46" s="10" t="n">
        <v>0</v>
      </c>
      <c r="N46" s="10">
        <f>L46+M46</f>
        <v/>
      </c>
      <c r="O46" s="9">
        <f>AND(N46&lt;=E46+0.000000001,K46-N46&gt;0.000000001)</f>
        <v/>
      </c>
      <c r="P46" s="17">
        <f>IF(O46,K46-N46,0)</f>
        <v/>
      </c>
      <c r="Q46" s="10" t="n">
        <v>12</v>
      </c>
      <c r="R46" s="10" t="n">
        <v>12</v>
      </c>
      <c r="S46" s="10">
        <f>IF(O46,MAX(CEILING(ROUND(P46/Q46,6),1)*Q46,CEILING(R46/Q46,1)*Q46),0)</f>
        <v/>
      </c>
      <c r="T46" s="12">
        <f>IF(D46&gt;0,L46/D46,"no demand")</f>
        <v/>
      </c>
      <c r="U46" s="10" t="n">
        <v>0</v>
      </c>
      <c r="V46" s="9">
        <f>IF(S46=U46,"OK","CHECK")</f>
        <v/>
      </c>
    </row>
    <row r="47">
      <c r="A47" s="9" t="inlineStr">
        <is>
          <t>SYN_FOODS_1_005_CA_2</t>
        </is>
      </c>
      <c r="B47" s="9" t="inlineStr">
        <is>
          <t>SYN_FOODS_1_005</t>
        </is>
      </c>
      <c r="C47" s="9" t="inlineStr">
        <is>
          <t>CA_2</t>
        </is>
      </c>
      <c r="D47" s="18">
        <f>'Safety Stock'!F47</f>
        <v/>
      </c>
      <c r="E47" s="17">
        <f>'Safety Stock'!T47</f>
        <v/>
      </c>
      <c r="F47" s="11" t="n">
        <v>1.51</v>
      </c>
      <c r="G47" s="11" t="n">
        <v>6</v>
      </c>
      <c r="H47" s="11">
        <f>F47*Assumptions!$C$9</f>
        <v/>
      </c>
      <c r="I47" s="12">
        <f>IF(AND(D47&gt;0,H47&gt;0),SQRT(2*365*D47*G47/H47),0)</f>
        <v/>
      </c>
      <c r="J47" s="12">
        <f>MIN(MAX(I47,D47*Assumptions!$C$6),D47*Assumptions!$C$11)</f>
        <v/>
      </c>
      <c r="K47" s="17">
        <f>E47+J47</f>
        <v/>
      </c>
      <c r="L47" s="10" t="n">
        <v>102</v>
      </c>
      <c r="M47" s="10" t="n">
        <v>0</v>
      </c>
      <c r="N47" s="10">
        <f>L47+M47</f>
        <v/>
      </c>
      <c r="O47" s="9">
        <f>AND(N47&lt;=E47+0.000000001,K47-N47&gt;0.000000001)</f>
        <v/>
      </c>
      <c r="P47" s="17">
        <f>IF(O47,K47-N47,0)</f>
        <v/>
      </c>
      <c r="Q47" s="10" t="n">
        <v>2</v>
      </c>
      <c r="R47" s="10" t="n">
        <v>2</v>
      </c>
      <c r="S47" s="10">
        <f>IF(O47,MAX(CEILING(ROUND(P47/Q47,6),1)*Q47,CEILING(R47/Q47,1)*Q47),0)</f>
        <v/>
      </c>
      <c r="T47" s="12">
        <f>IF(D47&gt;0,L47/D47,"no demand")</f>
        <v/>
      </c>
      <c r="U47" s="10" t="n">
        <v>0</v>
      </c>
      <c r="V47" s="9">
        <f>IF(S47=U47,"OK","CHECK")</f>
        <v/>
      </c>
    </row>
    <row r="48">
      <c r="A48" s="9" t="inlineStr">
        <is>
          <t>SYN_FOODS_1_006_CA_2</t>
        </is>
      </c>
      <c r="B48" s="9" t="inlineStr">
        <is>
          <t>SYN_FOODS_1_006</t>
        </is>
      </c>
      <c r="C48" s="9" t="inlineStr">
        <is>
          <t>CA_2</t>
        </is>
      </c>
      <c r="D48" s="18">
        <f>'Safety Stock'!F48</f>
        <v/>
      </c>
      <c r="E48" s="17">
        <f>'Safety Stock'!T48</f>
        <v/>
      </c>
      <c r="F48" s="11" t="n">
        <v>2.29</v>
      </c>
      <c r="G48" s="11" t="n">
        <v>6</v>
      </c>
      <c r="H48" s="11">
        <f>F48*Assumptions!$C$9</f>
        <v/>
      </c>
      <c r="I48" s="12">
        <f>IF(AND(D48&gt;0,H48&gt;0),SQRT(2*365*D48*G48/H48),0)</f>
        <v/>
      </c>
      <c r="J48" s="12">
        <f>MIN(MAX(I48,D48*Assumptions!$C$6),D48*Assumptions!$C$11)</f>
        <v/>
      </c>
      <c r="K48" s="17">
        <f>E48+J48</f>
        <v/>
      </c>
      <c r="L48" s="10" t="n">
        <v>32</v>
      </c>
      <c r="M48" s="10" t="n">
        <v>0</v>
      </c>
      <c r="N48" s="10">
        <f>L48+M48</f>
        <v/>
      </c>
      <c r="O48" s="9">
        <f>AND(N48&lt;=E48+0.000000001,K48-N48&gt;0.000000001)</f>
        <v/>
      </c>
      <c r="P48" s="17">
        <f>IF(O48,K48-N48,0)</f>
        <v/>
      </c>
      <c r="Q48" s="10" t="n">
        <v>12</v>
      </c>
      <c r="R48" s="10" t="n">
        <v>12</v>
      </c>
      <c r="S48" s="10">
        <f>IF(O48,MAX(CEILING(ROUND(P48/Q48,6),1)*Q48,CEILING(R48/Q48,1)*Q48),0)</f>
        <v/>
      </c>
      <c r="T48" s="12">
        <f>IF(D48&gt;0,L48/D48,"no demand")</f>
        <v/>
      </c>
      <c r="U48" s="10" t="n">
        <v>0</v>
      </c>
      <c r="V48" s="9">
        <f>IF(S48=U48,"OK","CHECK")</f>
        <v/>
      </c>
    </row>
    <row r="49">
      <c r="A49" s="9" t="inlineStr">
        <is>
          <t>SYN_FOODS_1_007_CA_2</t>
        </is>
      </c>
      <c r="B49" s="9" t="inlineStr">
        <is>
          <t>SYN_FOODS_1_007</t>
        </is>
      </c>
      <c r="C49" s="9" t="inlineStr">
        <is>
          <t>CA_2</t>
        </is>
      </c>
      <c r="D49" s="18">
        <f>'Safety Stock'!F49</f>
        <v/>
      </c>
      <c r="E49" s="17">
        <f>'Safety Stock'!T49</f>
        <v/>
      </c>
      <c r="F49" s="11" t="n">
        <v>5.47</v>
      </c>
      <c r="G49" s="11" t="n">
        <v>6</v>
      </c>
      <c r="H49" s="11">
        <f>F49*Assumptions!$C$9</f>
        <v/>
      </c>
      <c r="I49" s="12">
        <f>IF(AND(D49&gt;0,H49&gt;0),SQRT(2*365*D49*G49/H49),0)</f>
        <v/>
      </c>
      <c r="J49" s="12">
        <f>MIN(MAX(I49,D49*Assumptions!$C$6),D49*Assumptions!$C$11)</f>
        <v/>
      </c>
      <c r="K49" s="17">
        <f>E49+J49</f>
        <v/>
      </c>
      <c r="L49" s="10" t="n">
        <v>257</v>
      </c>
      <c r="M49" s="10" t="n">
        <v>0</v>
      </c>
      <c r="N49" s="10">
        <f>L49+M49</f>
        <v/>
      </c>
      <c r="O49" s="9">
        <f>AND(N49&lt;=E49+0.000000001,K49-N49&gt;0.000000001)</f>
        <v/>
      </c>
      <c r="P49" s="17">
        <f>IF(O49,K49-N49,0)</f>
        <v/>
      </c>
      <c r="Q49" s="10" t="n">
        <v>12</v>
      </c>
      <c r="R49" s="10" t="n">
        <v>12</v>
      </c>
      <c r="S49" s="10">
        <f>IF(O49,MAX(CEILING(ROUND(P49/Q49,6),1)*Q49,CEILING(R49/Q49,1)*Q49),0)</f>
        <v/>
      </c>
      <c r="T49" s="12">
        <f>IF(D49&gt;0,L49/D49,"no demand")</f>
        <v/>
      </c>
      <c r="U49" s="10" t="n">
        <v>252</v>
      </c>
      <c r="V49" s="9">
        <f>IF(S49=U49,"OK","CHECK")</f>
        <v/>
      </c>
    </row>
    <row r="50">
      <c r="A50" s="9" t="inlineStr">
        <is>
          <t>SYN_FOODS_1_009_CA_2</t>
        </is>
      </c>
      <c r="B50" s="9" t="inlineStr">
        <is>
          <t>SYN_FOODS_1_009</t>
        </is>
      </c>
      <c r="C50" s="9" t="inlineStr">
        <is>
          <t>CA_2</t>
        </is>
      </c>
      <c r="D50" s="18">
        <f>'Safety Stock'!F50</f>
        <v/>
      </c>
      <c r="E50" s="17">
        <f>'Safety Stock'!T50</f>
        <v/>
      </c>
      <c r="F50" s="11" t="n">
        <v>5.45</v>
      </c>
      <c r="G50" s="11" t="n">
        <v>6</v>
      </c>
      <c r="H50" s="11">
        <f>F50*Assumptions!$C$9</f>
        <v/>
      </c>
      <c r="I50" s="12">
        <f>IF(AND(D50&gt;0,H50&gt;0),SQRT(2*365*D50*G50/H50),0)</f>
        <v/>
      </c>
      <c r="J50" s="12">
        <f>MIN(MAX(I50,D50*Assumptions!$C$6),D50*Assumptions!$C$11)</f>
        <v/>
      </c>
      <c r="K50" s="17">
        <f>E50+J50</f>
        <v/>
      </c>
      <c r="L50" s="10" t="n">
        <v>361</v>
      </c>
      <c r="M50" s="10" t="n">
        <v>0</v>
      </c>
      <c r="N50" s="10">
        <f>L50+M50</f>
        <v/>
      </c>
      <c r="O50" s="9">
        <f>AND(N50&lt;=E50+0.000000001,K50-N50&gt;0.000000001)</f>
        <v/>
      </c>
      <c r="P50" s="17">
        <f>IF(O50,K50-N50,0)</f>
        <v/>
      </c>
      <c r="Q50" s="10" t="n">
        <v>12</v>
      </c>
      <c r="R50" s="10" t="n">
        <v>12</v>
      </c>
      <c r="S50" s="10">
        <f>IF(O50,MAX(CEILING(ROUND(P50/Q50,6),1)*Q50,CEILING(R50/Q50,1)*Q50),0)</f>
        <v/>
      </c>
      <c r="T50" s="12">
        <f>IF(D50&gt;0,L50/D50,"no demand")</f>
        <v/>
      </c>
      <c r="U50" s="10" t="n">
        <v>0</v>
      </c>
      <c r="V50" s="9">
        <f>IF(S50=U50,"OK","CHECK")</f>
        <v/>
      </c>
    </row>
    <row r="51">
      <c r="A51" s="9" t="inlineStr">
        <is>
          <t>SYN_FOODS_2_003_CA_2</t>
        </is>
      </c>
      <c r="B51" s="9" t="inlineStr">
        <is>
          <t>SYN_FOODS_2_003</t>
        </is>
      </c>
      <c r="C51" s="9" t="inlineStr">
        <is>
          <t>CA_2</t>
        </is>
      </c>
      <c r="D51" s="18">
        <f>'Safety Stock'!F51</f>
        <v/>
      </c>
      <c r="E51" s="17">
        <f>'Safety Stock'!T51</f>
        <v/>
      </c>
      <c r="F51" s="11" t="n">
        <v>1.19</v>
      </c>
      <c r="G51" s="11" t="n">
        <v>6</v>
      </c>
      <c r="H51" s="11">
        <f>F51*Assumptions!$C$9</f>
        <v/>
      </c>
      <c r="I51" s="12">
        <f>IF(AND(D51&gt;0,H51&gt;0),SQRT(2*365*D51*G51/H51),0)</f>
        <v/>
      </c>
      <c r="J51" s="12">
        <f>MIN(MAX(I51,D51*Assumptions!$C$6),D51*Assumptions!$C$11)</f>
        <v/>
      </c>
      <c r="K51" s="17">
        <f>E51+J51</f>
        <v/>
      </c>
      <c r="L51" s="10" t="n">
        <v>60</v>
      </c>
      <c r="M51" s="10" t="n">
        <v>0</v>
      </c>
      <c r="N51" s="10">
        <f>L51+M51</f>
        <v/>
      </c>
      <c r="O51" s="9">
        <f>AND(N51&lt;=E51+0.000000001,K51-N51&gt;0.000000001)</f>
        <v/>
      </c>
      <c r="P51" s="17">
        <f>IF(O51,K51-N51,0)</f>
        <v/>
      </c>
      <c r="Q51" s="10" t="n">
        <v>12</v>
      </c>
      <c r="R51" s="10" t="n">
        <v>12</v>
      </c>
      <c r="S51" s="10">
        <f>IF(O51,MAX(CEILING(ROUND(P51/Q51,6),1)*Q51,CEILING(R51/Q51,1)*Q51),0)</f>
        <v/>
      </c>
      <c r="T51" s="12">
        <f>IF(D51&gt;0,L51/D51,"no demand")</f>
        <v/>
      </c>
      <c r="U51" s="10" t="n">
        <v>168</v>
      </c>
      <c r="V51" s="9">
        <f>IF(S51=U51,"OK","CHECK")</f>
        <v/>
      </c>
    </row>
    <row r="52">
      <c r="A52" s="9" t="inlineStr">
        <is>
          <t>SYN_FOODS_2_004_CA_2</t>
        </is>
      </c>
      <c r="B52" s="9" t="inlineStr">
        <is>
          <t>SYN_FOODS_2_004</t>
        </is>
      </c>
      <c r="C52" s="9" t="inlineStr">
        <is>
          <t>CA_2</t>
        </is>
      </c>
      <c r="D52" s="18">
        <f>'Safety Stock'!F52</f>
        <v/>
      </c>
      <c r="E52" s="17">
        <f>'Safety Stock'!T52</f>
        <v/>
      </c>
      <c r="F52" s="11" t="n">
        <v>2.01</v>
      </c>
      <c r="G52" s="11" t="n">
        <v>6</v>
      </c>
      <c r="H52" s="11">
        <f>F52*Assumptions!$C$9</f>
        <v/>
      </c>
      <c r="I52" s="12">
        <f>IF(AND(D52&gt;0,H52&gt;0),SQRT(2*365*D52*G52/H52),0)</f>
        <v/>
      </c>
      <c r="J52" s="12">
        <f>MIN(MAX(I52,D52*Assumptions!$C$6),D52*Assumptions!$C$11)</f>
        <v/>
      </c>
      <c r="K52" s="17">
        <f>E52+J52</f>
        <v/>
      </c>
      <c r="L52" s="10" t="n">
        <v>0</v>
      </c>
      <c r="M52" s="10" t="n">
        <v>0</v>
      </c>
      <c r="N52" s="10">
        <f>L52+M52</f>
        <v/>
      </c>
      <c r="O52" s="9">
        <f>AND(N52&lt;=E52+0.000000001,K52-N52&gt;0.000000001)</f>
        <v/>
      </c>
      <c r="P52" s="17">
        <f>IF(O52,K52-N52,0)</f>
        <v/>
      </c>
      <c r="Q52" s="10" t="n">
        <v>2</v>
      </c>
      <c r="R52" s="10" t="n">
        <v>2</v>
      </c>
      <c r="S52" s="10">
        <f>IF(O52,MAX(CEILING(ROUND(P52/Q52,6),1)*Q52,CEILING(R52/Q52,1)*Q52),0)</f>
        <v/>
      </c>
      <c r="T52" s="12">
        <f>IF(D52&gt;0,L52/D52,"no demand")</f>
        <v/>
      </c>
      <c r="U52" s="10" t="n">
        <v>10</v>
      </c>
      <c r="V52" s="9">
        <f>IF(S52=U52,"OK","CHECK")</f>
        <v/>
      </c>
    </row>
    <row r="53">
      <c r="A53" s="9" t="inlineStr">
        <is>
          <t>SYN_FOODS_2_005_CA_2</t>
        </is>
      </c>
      <c r="B53" s="9" t="inlineStr">
        <is>
          <t>SYN_FOODS_2_005</t>
        </is>
      </c>
      <c r="C53" s="9" t="inlineStr">
        <is>
          <t>CA_2</t>
        </is>
      </c>
      <c r="D53" s="18">
        <f>'Safety Stock'!F53</f>
        <v/>
      </c>
      <c r="E53" s="17">
        <f>'Safety Stock'!T53</f>
        <v/>
      </c>
      <c r="F53" s="11" t="n">
        <v>5.21</v>
      </c>
      <c r="G53" s="11" t="n">
        <v>6</v>
      </c>
      <c r="H53" s="11">
        <f>F53*Assumptions!$C$9</f>
        <v/>
      </c>
      <c r="I53" s="12">
        <f>IF(AND(D53&gt;0,H53&gt;0),SQRT(2*365*D53*G53/H53),0)</f>
        <v/>
      </c>
      <c r="J53" s="12">
        <f>MIN(MAX(I53,D53*Assumptions!$C$6),D53*Assumptions!$C$11)</f>
        <v/>
      </c>
      <c r="K53" s="17">
        <f>E53+J53</f>
        <v/>
      </c>
      <c r="L53" s="10" t="n">
        <v>40</v>
      </c>
      <c r="M53" s="10" t="n">
        <v>0</v>
      </c>
      <c r="N53" s="10">
        <f>L53+M53</f>
        <v/>
      </c>
      <c r="O53" s="9">
        <f>AND(N53&lt;=E53+0.000000001,K53-N53&gt;0.000000001)</f>
        <v/>
      </c>
      <c r="P53" s="17">
        <f>IF(O53,K53-N53,0)</f>
        <v/>
      </c>
      <c r="Q53" s="10" t="n">
        <v>4</v>
      </c>
      <c r="R53" s="10" t="n">
        <v>4</v>
      </c>
      <c r="S53" s="10">
        <f>IF(O53,MAX(CEILING(ROUND(P53/Q53,6),1)*Q53,CEILING(R53/Q53,1)*Q53),0)</f>
        <v/>
      </c>
      <c r="T53" s="12">
        <f>IF(D53&gt;0,L53/D53,"no demand")</f>
        <v/>
      </c>
      <c r="U53" s="10" t="n">
        <v>0</v>
      </c>
      <c r="V53" s="9">
        <f>IF(S53=U53,"OK","CHECK")</f>
        <v/>
      </c>
    </row>
    <row r="54">
      <c r="A54" s="9" t="inlineStr">
        <is>
          <t>SYN_FOODS_2_009_CA_2</t>
        </is>
      </c>
      <c r="B54" s="9" t="inlineStr">
        <is>
          <t>SYN_FOODS_2_009</t>
        </is>
      </c>
      <c r="C54" s="9" t="inlineStr">
        <is>
          <t>CA_2</t>
        </is>
      </c>
      <c r="D54" s="18">
        <f>'Safety Stock'!F54</f>
        <v/>
      </c>
      <c r="E54" s="17">
        <f>'Safety Stock'!T54</f>
        <v/>
      </c>
      <c r="F54" s="11" t="n">
        <v>4.18</v>
      </c>
      <c r="G54" s="11" t="n">
        <v>6</v>
      </c>
      <c r="H54" s="11">
        <f>F54*Assumptions!$C$9</f>
        <v/>
      </c>
      <c r="I54" s="12">
        <f>IF(AND(D54&gt;0,H54&gt;0),SQRT(2*365*D54*G54/H54),0)</f>
        <v/>
      </c>
      <c r="J54" s="12">
        <f>MIN(MAX(I54,D54*Assumptions!$C$6),D54*Assumptions!$C$11)</f>
        <v/>
      </c>
      <c r="K54" s="17">
        <f>E54+J54</f>
        <v/>
      </c>
      <c r="L54" s="10" t="n">
        <v>672</v>
      </c>
      <c r="M54" s="10" t="n">
        <v>0</v>
      </c>
      <c r="N54" s="10">
        <f>L54+M54</f>
        <v/>
      </c>
      <c r="O54" s="9">
        <f>AND(N54&lt;=E54+0.000000001,K54-N54&gt;0.000000001)</f>
        <v/>
      </c>
      <c r="P54" s="17">
        <f>IF(O54,K54-N54,0)</f>
        <v/>
      </c>
      <c r="Q54" s="10" t="n">
        <v>12</v>
      </c>
      <c r="R54" s="10" t="n">
        <v>12</v>
      </c>
      <c r="S54" s="10">
        <f>IF(O54,MAX(CEILING(ROUND(P54/Q54,6),1)*Q54,CEILING(R54/Q54,1)*Q54),0)</f>
        <v/>
      </c>
      <c r="T54" s="12">
        <f>IF(D54&gt;0,L54/D54,"no demand")</f>
        <v/>
      </c>
      <c r="U54" s="10" t="n">
        <v>0</v>
      </c>
      <c r="V54" s="9">
        <f>IF(S54=U54,"OK","CHECK")</f>
        <v/>
      </c>
    </row>
    <row r="55">
      <c r="A55" s="9" t="inlineStr">
        <is>
          <t>SYN_FOODS_3_001_CA_2</t>
        </is>
      </c>
      <c r="B55" s="9" t="inlineStr">
        <is>
          <t>SYN_FOODS_3_001</t>
        </is>
      </c>
      <c r="C55" s="9" t="inlineStr">
        <is>
          <t>CA_2</t>
        </is>
      </c>
      <c r="D55" s="18">
        <f>'Safety Stock'!F55</f>
        <v/>
      </c>
      <c r="E55" s="17">
        <f>'Safety Stock'!T55</f>
        <v/>
      </c>
      <c r="F55" s="11" t="n">
        <v>0.99</v>
      </c>
      <c r="G55" s="11" t="n">
        <v>4</v>
      </c>
      <c r="H55" s="11">
        <f>F55*Assumptions!$C$9</f>
        <v/>
      </c>
      <c r="I55" s="12">
        <f>IF(AND(D55&gt;0,H55&gt;0),SQRT(2*365*D55*G55/H55),0)</f>
        <v/>
      </c>
      <c r="J55" s="12">
        <f>MIN(MAX(I55,D55*Assumptions!$C$6),D55*Assumptions!$C$11)</f>
        <v/>
      </c>
      <c r="K55" s="17">
        <f>E55+J55</f>
        <v/>
      </c>
      <c r="L55" s="10" t="n">
        <v>31</v>
      </c>
      <c r="M55" s="10" t="n">
        <v>0</v>
      </c>
      <c r="N55" s="10">
        <f>L55+M55</f>
        <v/>
      </c>
      <c r="O55" s="9">
        <f>AND(N55&lt;=E55+0.000000001,K55-N55&gt;0.000000001)</f>
        <v/>
      </c>
      <c r="P55" s="17">
        <f>IF(O55,K55-N55,0)</f>
        <v/>
      </c>
      <c r="Q55" s="10" t="n">
        <v>6</v>
      </c>
      <c r="R55" s="10" t="n">
        <v>6</v>
      </c>
      <c r="S55" s="10">
        <f>IF(O55,MAX(CEILING(ROUND(P55/Q55,6),1)*Q55,CEILING(R55/Q55,1)*Q55),0)</f>
        <v/>
      </c>
      <c r="T55" s="12">
        <f>IF(D55&gt;0,L55/D55,"no demand")</f>
        <v/>
      </c>
      <c r="U55" s="10" t="n">
        <v>0</v>
      </c>
      <c r="V55" s="9">
        <f>IF(S55=U55,"OK","CHECK")</f>
        <v/>
      </c>
    </row>
    <row r="56">
      <c r="A56" s="9" t="inlineStr">
        <is>
          <t>SYN_FOODS_3_002_CA_2</t>
        </is>
      </c>
      <c r="B56" s="9" t="inlineStr">
        <is>
          <t>SYN_FOODS_3_002</t>
        </is>
      </c>
      <c r="C56" s="9" t="inlineStr">
        <is>
          <t>CA_2</t>
        </is>
      </c>
      <c r="D56" s="18">
        <f>'Safety Stock'!F56</f>
        <v/>
      </c>
      <c r="E56" s="17">
        <f>'Safety Stock'!T56</f>
        <v/>
      </c>
      <c r="F56" s="11" t="n">
        <v>2.42</v>
      </c>
      <c r="G56" s="11" t="n">
        <v>4</v>
      </c>
      <c r="H56" s="11">
        <f>F56*Assumptions!$C$9</f>
        <v/>
      </c>
      <c r="I56" s="12">
        <f>IF(AND(D56&gt;0,H56&gt;0),SQRT(2*365*D56*G56/H56),0)</f>
        <v/>
      </c>
      <c r="J56" s="12">
        <f>MIN(MAX(I56,D56*Assumptions!$C$6),D56*Assumptions!$C$11)</f>
        <v/>
      </c>
      <c r="K56" s="17">
        <f>E56+J56</f>
        <v/>
      </c>
      <c r="L56" s="10" t="n">
        <v>90</v>
      </c>
      <c r="M56" s="10" t="n">
        <v>0</v>
      </c>
      <c r="N56" s="10">
        <f>L56+M56</f>
        <v/>
      </c>
      <c r="O56" s="9">
        <f>AND(N56&lt;=E56+0.000000001,K56-N56&gt;0.000000001)</f>
        <v/>
      </c>
      <c r="P56" s="17">
        <f>IF(O56,K56-N56,0)</f>
        <v/>
      </c>
      <c r="Q56" s="10" t="n">
        <v>6</v>
      </c>
      <c r="R56" s="10" t="n">
        <v>6</v>
      </c>
      <c r="S56" s="10">
        <f>IF(O56,MAX(CEILING(ROUND(P56/Q56,6),1)*Q56,CEILING(R56/Q56,1)*Q56),0)</f>
        <v/>
      </c>
      <c r="T56" s="12">
        <f>IF(D56&gt;0,L56/D56,"no demand")</f>
        <v/>
      </c>
      <c r="U56" s="10" t="n">
        <v>0</v>
      </c>
      <c r="V56" s="9">
        <f>IF(S56=U56,"OK","CHECK")</f>
        <v/>
      </c>
    </row>
    <row r="57">
      <c r="A57" s="9" t="inlineStr">
        <is>
          <t>SYN_FOODS_3_003_CA_2</t>
        </is>
      </c>
      <c r="B57" s="9" t="inlineStr">
        <is>
          <t>SYN_FOODS_3_003</t>
        </is>
      </c>
      <c r="C57" s="9" t="inlineStr">
        <is>
          <t>CA_2</t>
        </is>
      </c>
      <c r="D57" s="18">
        <f>'Safety Stock'!F57</f>
        <v/>
      </c>
      <c r="E57" s="17">
        <f>'Safety Stock'!T57</f>
        <v/>
      </c>
      <c r="F57" s="11" t="n">
        <v>1.27</v>
      </c>
      <c r="G57" s="11" t="n">
        <v>4</v>
      </c>
      <c r="H57" s="11">
        <f>F57*Assumptions!$C$9</f>
        <v/>
      </c>
      <c r="I57" s="12">
        <f>IF(AND(D57&gt;0,H57&gt;0),SQRT(2*365*D57*G57/H57),0)</f>
        <v/>
      </c>
      <c r="J57" s="12">
        <f>MIN(MAX(I57,D57*Assumptions!$C$6),D57*Assumptions!$C$11)</f>
        <v/>
      </c>
      <c r="K57" s="17">
        <f>E57+J57</f>
        <v/>
      </c>
      <c r="L57" s="10" t="n">
        <v>206</v>
      </c>
      <c r="M57" s="10" t="n">
        <v>0</v>
      </c>
      <c r="N57" s="10">
        <f>L57+M57</f>
        <v/>
      </c>
      <c r="O57" s="9">
        <f>AND(N57&lt;=E57+0.000000001,K57-N57&gt;0.000000001)</f>
        <v/>
      </c>
      <c r="P57" s="17">
        <f>IF(O57,K57-N57,0)</f>
        <v/>
      </c>
      <c r="Q57" s="10" t="n">
        <v>12</v>
      </c>
      <c r="R57" s="10" t="n">
        <v>12</v>
      </c>
      <c r="S57" s="10">
        <f>IF(O57,MAX(CEILING(ROUND(P57/Q57,6),1)*Q57,CEILING(R57/Q57,1)*Q57),0)</f>
        <v/>
      </c>
      <c r="T57" s="12">
        <f>IF(D57&gt;0,L57/D57,"no demand")</f>
        <v/>
      </c>
      <c r="U57" s="10" t="n">
        <v>0</v>
      </c>
      <c r="V57" s="9">
        <f>IF(S57=U57,"OK","CHECK")</f>
        <v/>
      </c>
    </row>
    <row r="58">
      <c r="A58" s="9" t="inlineStr">
        <is>
          <t>SYN_FOODS_3_005_CA_2</t>
        </is>
      </c>
      <c r="B58" s="9" t="inlineStr">
        <is>
          <t>SYN_FOODS_3_005</t>
        </is>
      </c>
      <c r="C58" s="9" t="inlineStr">
        <is>
          <t>CA_2</t>
        </is>
      </c>
      <c r="D58" s="18">
        <f>'Safety Stock'!F58</f>
        <v/>
      </c>
      <c r="E58" s="17">
        <f>'Safety Stock'!T58</f>
        <v/>
      </c>
      <c r="F58" s="11" t="n">
        <v>1.76</v>
      </c>
      <c r="G58" s="11" t="n">
        <v>4</v>
      </c>
      <c r="H58" s="11">
        <f>F58*Assumptions!$C$9</f>
        <v/>
      </c>
      <c r="I58" s="12">
        <f>IF(AND(D58&gt;0,H58&gt;0),SQRT(2*365*D58*G58/H58),0)</f>
        <v/>
      </c>
      <c r="J58" s="12">
        <f>MIN(MAX(I58,D58*Assumptions!$C$6),D58*Assumptions!$C$11)</f>
        <v/>
      </c>
      <c r="K58" s="17">
        <f>E58+J58</f>
        <v/>
      </c>
      <c r="L58" s="10" t="n">
        <v>475</v>
      </c>
      <c r="M58" s="10" t="n">
        <v>0</v>
      </c>
      <c r="N58" s="10">
        <f>L58+M58</f>
        <v/>
      </c>
      <c r="O58" s="9">
        <f>AND(N58&lt;=E58+0.000000001,K58-N58&gt;0.000000001)</f>
        <v/>
      </c>
      <c r="P58" s="17">
        <f>IF(O58,K58-N58,0)</f>
        <v/>
      </c>
      <c r="Q58" s="10" t="n">
        <v>12</v>
      </c>
      <c r="R58" s="10" t="n">
        <v>12</v>
      </c>
      <c r="S58" s="10">
        <f>IF(O58,MAX(CEILING(ROUND(P58/Q58,6),1)*Q58,CEILING(R58/Q58,1)*Q58),0)</f>
        <v/>
      </c>
      <c r="T58" s="12">
        <f>IF(D58&gt;0,L58/D58,"no demand")</f>
        <v/>
      </c>
      <c r="U58" s="10" t="n">
        <v>0</v>
      </c>
      <c r="V58" s="9">
        <f>IF(S58=U58,"OK","CHECK")</f>
        <v/>
      </c>
    </row>
    <row r="59">
      <c r="A59" s="9" t="inlineStr">
        <is>
          <t>SYN_FOODS_3_007_CA_2</t>
        </is>
      </c>
      <c r="B59" s="9" t="inlineStr">
        <is>
          <t>SYN_FOODS_3_007</t>
        </is>
      </c>
      <c r="C59" s="9" t="inlineStr">
        <is>
          <t>CA_2</t>
        </is>
      </c>
      <c r="D59" s="18">
        <f>'Safety Stock'!F59</f>
        <v/>
      </c>
      <c r="E59" s="17">
        <f>'Safety Stock'!T59</f>
        <v/>
      </c>
      <c r="F59" s="11" t="n">
        <v>1.99</v>
      </c>
      <c r="G59" s="11" t="n">
        <v>4</v>
      </c>
      <c r="H59" s="11">
        <f>F59*Assumptions!$C$9</f>
        <v/>
      </c>
      <c r="I59" s="12">
        <f>IF(AND(D59&gt;0,H59&gt;0),SQRT(2*365*D59*G59/H59),0)</f>
        <v/>
      </c>
      <c r="J59" s="12">
        <f>MIN(MAX(I59,D59*Assumptions!$C$6),D59*Assumptions!$C$11)</f>
        <v/>
      </c>
      <c r="K59" s="17">
        <f>E59+J59</f>
        <v/>
      </c>
      <c r="L59" s="10" t="n">
        <v>397</v>
      </c>
      <c r="M59" s="10" t="n">
        <v>0</v>
      </c>
      <c r="N59" s="10">
        <f>L59+M59</f>
        <v/>
      </c>
      <c r="O59" s="9">
        <f>AND(N59&lt;=E59+0.000000001,K59-N59&gt;0.000000001)</f>
        <v/>
      </c>
      <c r="P59" s="17">
        <f>IF(O59,K59-N59,0)</f>
        <v/>
      </c>
      <c r="Q59" s="10" t="n">
        <v>12</v>
      </c>
      <c r="R59" s="10" t="n">
        <v>12</v>
      </c>
      <c r="S59" s="10">
        <f>IF(O59,MAX(CEILING(ROUND(P59/Q59,6),1)*Q59,CEILING(R59/Q59,1)*Q59),0)</f>
        <v/>
      </c>
      <c r="T59" s="12">
        <f>IF(D59&gt;0,L59/D59,"no demand")</f>
        <v/>
      </c>
      <c r="U59" s="10" t="n">
        <v>0</v>
      </c>
      <c r="V59" s="9">
        <f>IF(S59=U59,"OK","CHECK")</f>
        <v/>
      </c>
    </row>
    <row r="60">
      <c r="A60" s="9" t="inlineStr">
        <is>
          <t>SYN_FOODS_3_008_CA_2</t>
        </is>
      </c>
      <c r="B60" s="9" t="inlineStr">
        <is>
          <t>SYN_FOODS_3_008</t>
        </is>
      </c>
      <c r="C60" s="9" t="inlineStr">
        <is>
          <t>CA_2</t>
        </is>
      </c>
      <c r="D60" s="18">
        <f>'Safety Stock'!F60</f>
        <v/>
      </c>
      <c r="E60" s="17">
        <f>'Safety Stock'!T60</f>
        <v/>
      </c>
      <c r="F60" s="11" t="n">
        <v>2.92</v>
      </c>
      <c r="G60" s="11" t="n">
        <v>4</v>
      </c>
      <c r="H60" s="11">
        <f>F60*Assumptions!$C$9</f>
        <v/>
      </c>
      <c r="I60" s="12">
        <f>IF(AND(D60&gt;0,H60&gt;0),SQRT(2*365*D60*G60/H60),0)</f>
        <v/>
      </c>
      <c r="J60" s="12">
        <f>MIN(MAX(I60,D60*Assumptions!$C$6),D60*Assumptions!$C$11)</f>
        <v/>
      </c>
      <c r="K60" s="17">
        <f>E60+J60</f>
        <v/>
      </c>
      <c r="L60" s="10" t="n">
        <v>2</v>
      </c>
      <c r="M60" s="10" t="n">
        <v>0</v>
      </c>
      <c r="N60" s="10">
        <f>L60+M60</f>
        <v/>
      </c>
      <c r="O60" s="9">
        <f>AND(N60&lt;=E60+0.000000001,K60-N60&gt;0.000000001)</f>
        <v/>
      </c>
      <c r="P60" s="17">
        <f>IF(O60,K60-N60,0)</f>
        <v/>
      </c>
      <c r="Q60" s="10" t="n">
        <v>2</v>
      </c>
      <c r="R60" s="10" t="n">
        <v>2</v>
      </c>
      <c r="S60" s="10">
        <f>IF(O60,MAX(CEILING(ROUND(P60/Q60,6),1)*Q60,CEILING(R60/Q60,1)*Q60),0)</f>
        <v/>
      </c>
      <c r="T60" s="12">
        <f>IF(D60&gt;0,L60/D60,"no demand")</f>
        <v/>
      </c>
      <c r="U60" s="10" t="n">
        <v>16</v>
      </c>
      <c r="V60" s="9">
        <f>IF(S60=U60,"OK","CHECK")</f>
        <v/>
      </c>
    </row>
    <row r="61">
      <c r="A61" s="9" t="inlineStr">
        <is>
          <t>SYN_HOBBIES_1_001_CA_2</t>
        </is>
      </c>
      <c r="B61" s="9" t="inlineStr">
        <is>
          <t>SYN_HOBBIES_1_001</t>
        </is>
      </c>
      <c r="C61" s="9" t="inlineStr">
        <is>
          <t>CA_2</t>
        </is>
      </c>
      <c r="D61" s="18">
        <f>'Safety Stock'!F61</f>
        <v/>
      </c>
      <c r="E61" s="17">
        <f>'Safety Stock'!T61</f>
        <v/>
      </c>
      <c r="F61" s="11" t="n">
        <v>5.49</v>
      </c>
      <c r="G61" s="11" t="n">
        <v>9</v>
      </c>
      <c r="H61" s="11">
        <f>F61*Assumptions!$C$9</f>
        <v/>
      </c>
      <c r="I61" s="12">
        <f>IF(AND(D61&gt;0,H61&gt;0),SQRT(2*365*D61*G61/H61),0)</f>
        <v/>
      </c>
      <c r="J61" s="12">
        <f>MIN(MAX(I61,D61*Assumptions!$C$6),D61*Assumptions!$C$11)</f>
        <v/>
      </c>
      <c r="K61" s="17">
        <f>E61+J61</f>
        <v/>
      </c>
      <c r="L61" s="10" t="n">
        <v>10</v>
      </c>
      <c r="M61" s="10" t="n">
        <v>0</v>
      </c>
      <c r="N61" s="10">
        <f>L61+M61</f>
        <v/>
      </c>
      <c r="O61" s="9">
        <f>AND(N61&lt;=E61+0.000000001,K61-N61&gt;0.000000001)</f>
        <v/>
      </c>
      <c r="P61" s="17">
        <f>IF(O61,K61-N61,0)</f>
        <v/>
      </c>
      <c r="Q61" s="10" t="n">
        <v>6</v>
      </c>
      <c r="R61" s="10" t="n">
        <v>12</v>
      </c>
      <c r="S61" s="10">
        <f>IF(O61,MAX(CEILING(ROUND(P61/Q61,6),1)*Q61,CEILING(R61/Q61,1)*Q61),0)</f>
        <v/>
      </c>
      <c r="T61" s="12">
        <f>IF(D61&gt;0,L61/D61,"no demand")</f>
        <v/>
      </c>
      <c r="U61" s="10" t="n">
        <v>72</v>
      </c>
      <c r="V61" s="9">
        <f>IF(S61=U61,"OK","CHECK")</f>
        <v/>
      </c>
    </row>
    <row r="62">
      <c r="A62" s="9" t="inlineStr">
        <is>
          <t>SYN_HOBBIES_1_002_CA_2</t>
        </is>
      </c>
      <c r="B62" s="9" t="inlineStr">
        <is>
          <t>SYN_HOBBIES_1_002</t>
        </is>
      </c>
      <c r="C62" s="9" t="inlineStr">
        <is>
          <t>CA_2</t>
        </is>
      </c>
      <c r="D62" s="18">
        <f>'Safety Stock'!F62</f>
        <v/>
      </c>
      <c r="E62" s="17">
        <f>'Safety Stock'!T62</f>
        <v/>
      </c>
      <c r="F62" s="11" t="n">
        <v>10.47</v>
      </c>
      <c r="G62" s="11" t="n">
        <v>9</v>
      </c>
      <c r="H62" s="11">
        <f>F62*Assumptions!$C$9</f>
        <v/>
      </c>
      <c r="I62" s="12">
        <f>IF(AND(D62&gt;0,H62&gt;0),SQRT(2*365*D62*G62/H62),0)</f>
        <v/>
      </c>
      <c r="J62" s="12">
        <f>MIN(MAX(I62,D62*Assumptions!$C$6),D62*Assumptions!$C$11)</f>
        <v/>
      </c>
      <c r="K62" s="17">
        <f>E62+J62</f>
        <v/>
      </c>
      <c r="L62" s="10" t="n">
        <v>18</v>
      </c>
      <c r="M62" s="10" t="n">
        <v>0</v>
      </c>
      <c r="N62" s="10">
        <f>L62+M62</f>
        <v/>
      </c>
      <c r="O62" s="9">
        <f>AND(N62&lt;=E62+0.000000001,K62-N62&gt;0.000000001)</f>
        <v/>
      </c>
      <c r="P62" s="17">
        <f>IF(O62,K62-N62,0)</f>
        <v/>
      </c>
      <c r="Q62" s="10" t="n">
        <v>2</v>
      </c>
      <c r="R62" s="10" t="n">
        <v>4</v>
      </c>
      <c r="S62" s="10">
        <f>IF(O62,MAX(CEILING(ROUND(P62/Q62,6),1)*Q62,CEILING(R62/Q62,1)*Q62),0)</f>
        <v/>
      </c>
      <c r="T62" s="12">
        <f>IF(D62&gt;0,L62/D62,"no demand")</f>
        <v/>
      </c>
      <c r="U62" s="10" t="n">
        <v>0</v>
      </c>
      <c r="V62" s="9">
        <f>IF(S62=U62,"OK","CHECK")</f>
        <v/>
      </c>
    </row>
    <row r="63">
      <c r="A63" s="9" t="inlineStr">
        <is>
          <t>SYN_HOBBIES_1_003_CA_2</t>
        </is>
      </c>
      <c r="B63" s="9" t="inlineStr">
        <is>
          <t>SYN_HOBBIES_1_003</t>
        </is>
      </c>
      <c r="C63" s="9" t="inlineStr">
        <is>
          <t>CA_2</t>
        </is>
      </c>
      <c r="D63" s="18">
        <f>'Safety Stock'!F63</f>
        <v/>
      </c>
      <c r="E63" s="17">
        <f>'Safety Stock'!T63</f>
        <v/>
      </c>
      <c r="F63" s="11" t="n">
        <v>10.92</v>
      </c>
      <c r="G63" s="11" t="n">
        <v>9</v>
      </c>
      <c r="H63" s="11">
        <f>F63*Assumptions!$C$9</f>
        <v/>
      </c>
      <c r="I63" s="12">
        <f>IF(AND(D63&gt;0,H63&gt;0),SQRT(2*365*D63*G63/H63),0)</f>
        <v/>
      </c>
      <c r="J63" s="12">
        <f>MIN(MAX(I63,D63*Assumptions!$C$6),D63*Assumptions!$C$11)</f>
        <v/>
      </c>
      <c r="K63" s="17">
        <f>E63+J63</f>
        <v/>
      </c>
      <c r="L63" s="10" t="n">
        <v>39</v>
      </c>
      <c r="M63" s="10" t="n">
        <v>0</v>
      </c>
      <c r="N63" s="10">
        <f>L63+M63</f>
        <v/>
      </c>
      <c r="O63" s="9">
        <f>AND(N63&lt;=E63+0.000000001,K63-N63&gt;0.000000001)</f>
        <v/>
      </c>
      <c r="P63" s="17">
        <f>IF(O63,K63-N63,0)</f>
        <v/>
      </c>
      <c r="Q63" s="10" t="n">
        <v>4</v>
      </c>
      <c r="R63" s="10" t="n">
        <v>8</v>
      </c>
      <c r="S63" s="10">
        <f>IF(O63,MAX(CEILING(ROUND(P63/Q63,6),1)*Q63,CEILING(R63/Q63,1)*Q63),0)</f>
        <v/>
      </c>
      <c r="T63" s="12">
        <f>IF(D63&gt;0,L63/D63,"no demand")</f>
        <v/>
      </c>
      <c r="U63" s="10" t="n">
        <v>0</v>
      </c>
      <c r="V63" s="9">
        <f>IF(S63=U63,"OK","CHECK")</f>
        <v/>
      </c>
    </row>
    <row r="64">
      <c r="A64" s="9" t="inlineStr">
        <is>
          <t>SYN_HOBBIES_1_004_CA_2</t>
        </is>
      </c>
      <c r="B64" s="9" t="inlineStr">
        <is>
          <t>SYN_HOBBIES_1_004</t>
        </is>
      </c>
      <c r="C64" s="9" t="inlineStr">
        <is>
          <t>CA_2</t>
        </is>
      </c>
      <c r="D64" s="18">
        <f>'Safety Stock'!F64</f>
        <v/>
      </c>
      <c r="E64" s="17">
        <f>'Safety Stock'!T64</f>
        <v/>
      </c>
      <c r="F64" s="11" t="n">
        <v>6.15</v>
      </c>
      <c r="G64" s="11" t="n">
        <v>9</v>
      </c>
      <c r="H64" s="11">
        <f>F64*Assumptions!$C$9</f>
        <v/>
      </c>
      <c r="I64" s="12">
        <f>IF(AND(D64&gt;0,H64&gt;0),SQRT(2*365*D64*G64/H64),0)</f>
        <v/>
      </c>
      <c r="J64" s="12">
        <f>MIN(MAX(I64,D64*Assumptions!$C$6),D64*Assumptions!$C$11)</f>
        <v/>
      </c>
      <c r="K64" s="17">
        <f>E64+J64</f>
        <v/>
      </c>
      <c r="L64" s="10" t="n">
        <v>6</v>
      </c>
      <c r="M64" s="10" t="n">
        <v>0</v>
      </c>
      <c r="N64" s="10">
        <f>L64+M64</f>
        <v/>
      </c>
      <c r="O64" s="9">
        <f>AND(N64&lt;=E64+0.000000001,K64-N64&gt;0.000000001)</f>
        <v/>
      </c>
      <c r="P64" s="17">
        <f>IF(O64,K64-N64,0)</f>
        <v/>
      </c>
      <c r="Q64" s="10" t="n">
        <v>2</v>
      </c>
      <c r="R64" s="10" t="n">
        <v>4</v>
      </c>
      <c r="S64" s="10">
        <f>IF(O64,MAX(CEILING(ROUND(P64/Q64,6),1)*Q64,CEILING(R64/Q64,1)*Q64),0)</f>
        <v/>
      </c>
      <c r="T64" s="12">
        <f>IF(D64&gt;0,L64/D64,"no demand")</f>
        <v/>
      </c>
      <c r="U64" s="10" t="n">
        <v>52</v>
      </c>
      <c r="V64" s="9">
        <f>IF(S64=U64,"OK","CHECK")</f>
        <v/>
      </c>
    </row>
    <row r="65">
      <c r="A65" s="9" t="inlineStr">
        <is>
          <t>SYN_HOBBIES_1_005_CA_2</t>
        </is>
      </c>
      <c r="B65" s="9" t="inlineStr">
        <is>
          <t>SYN_HOBBIES_1_005</t>
        </is>
      </c>
      <c r="C65" s="9" t="inlineStr">
        <is>
          <t>CA_2</t>
        </is>
      </c>
      <c r="D65" s="18">
        <f>'Safety Stock'!F65</f>
        <v/>
      </c>
      <c r="E65" s="17">
        <f>'Safety Stock'!T65</f>
        <v/>
      </c>
      <c r="F65" s="11" t="n">
        <v>6.44</v>
      </c>
      <c r="G65" s="11" t="n">
        <v>9</v>
      </c>
      <c r="H65" s="11">
        <f>F65*Assumptions!$C$9</f>
        <v/>
      </c>
      <c r="I65" s="12">
        <f>IF(AND(D65&gt;0,H65&gt;0),SQRT(2*365*D65*G65/H65),0)</f>
        <v/>
      </c>
      <c r="J65" s="12">
        <f>MIN(MAX(I65,D65*Assumptions!$C$6),D65*Assumptions!$C$11)</f>
        <v/>
      </c>
      <c r="K65" s="17">
        <f>E65+J65</f>
        <v/>
      </c>
      <c r="L65" s="10" t="n">
        <v>11</v>
      </c>
      <c r="M65" s="10" t="n">
        <v>0</v>
      </c>
      <c r="N65" s="10">
        <f>L65+M65</f>
        <v/>
      </c>
      <c r="O65" s="9">
        <f>AND(N65&lt;=E65+0.000000001,K65-N65&gt;0.000000001)</f>
        <v/>
      </c>
      <c r="P65" s="17">
        <f>IF(O65,K65-N65,0)</f>
        <v/>
      </c>
      <c r="Q65" s="10" t="n">
        <v>2</v>
      </c>
      <c r="R65" s="10" t="n">
        <v>4</v>
      </c>
      <c r="S65" s="10">
        <f>IF(O65,MAX(CEILING(ROUND(P65/Q65,6),1)*Q65,CEILING(R65/Q65,1)*Q65),0)</f>
        <v/>
      </c>
      <c r="T65" s="12">
        <f>IF(D65&gt;0,L65/D65,"no demand")</f>
        <v/>
      </c>
      <c r="U65" s="10" t="n">
        <v>48</v>
      </c>
      <c r="V65" s="9">
        <f>IF(S65=U65,"OK","CHECK")</f>
        <v/>
      </c>
    </row>
    <row r="66">
      <c r="A66" s="9" t="inlineStr">
        <is>
          <t>SYN_HOBBIES_1_006_CA_2</t>
        </is>
      </c>
      <c r="B66" s="9" t="inlineStr">
        <is>
          <t>SYN_HOBBIES_1_006</t>
        </is>
      </c>
      <c r="C66" s="9" t="inlineStr">
        <is>
          <t>CA_2</t>
        </is>
      </c>
      <c r="D66" s="18">
        <f>'Safety Stock'!F66</f>
        <v/>
      </c>
      <c r="E66" s="17">
        <f>'Safety Stock'!T66</f>
        <v/>
      </c>
      <c r="F66" s="11" t="n">
        <v>8.199999999999999</v>
      </c>
      <c r="G66" s="11" t="n">
        <v>9</v>
      </c>
      <c r="H66" s="11">
        <f>F66*Assumptions!$C$9</f>
        <v/>
      </c>
      <c r="I66" s="12">
        <f>IF(AND(D66&gt;0,H66&gt;0),SQRT(2*365*D66*G66/H66),0)</f>
        <v/>
      </c>
      <c r="J66" s="12">
        <f>MIN(MAX(I66,D66*Assumptions!$C$6),D66*Assumptions!$C$11)</f>
        <v/>
      </c>
      <c r="K66" s="17">
        <f>E66+J66</f>
        <v/>
      </c>
      <c r="L66" s="10" t="n">
        <v>29</v>
      </c>
      <c r="M66" s="10" t="n">
        <v>0</v>
      </c>
      <c r="N66" s="10">
        <f>L66+M66</f>
        <v/>
      </c>
      <c r="O66" s="9">
        <f>AND(N66&lt;=E66+0.000000001,K66-N66&gt;0.000000001)</f>
        <v/>
      </c>
      <c r="P66" s="17">
        <f>IF(O66,K66-N66,0)</f>
        <v/>
      </c>
      <c r="Q66" s="10" t="n">
        <v>2</v>
      </c>
      <c r="R66" s="10" t="n">
        <v>4</v>
      </c>
      <c r="S66" s="10">
        <f>IF(O66,MAX(CEILING(ROUND(P66/Q66,6),1)*Q66,CEILING(R66/Q66,1)*Q66),0)</f>
        <v/>
      </c>
      <c r="T66" s="12">
        <f>IF(D66&gt;0,L66/D66,"no demand")</f>
        <v/>
      </c>
      <c r="U66" s="10" t="n">
        <v>0</v>
      </c>
      <c r="V66" s="9">
        <f>IF(S66=U66,"OK","CHECK")</f>
        <v/>
      </c>
    </row>
    <row r="67">
      <c r="A67" s="9" t="inlineStr">
        <is>
          <t>SYN_HOBBIES_1_008_CA_2</t>
        </is>
      </c>
      <c r="B67" s="9" t="inlineStr">
        <is>
          <t>SYN_HOBBIES_1_008</t>
        </is>
      </c>
      <c r="C67" s="9" t="inlineStr">
        <is>
          <t>CA_2</t>
        </is>
      </c>
      <c r="D67" s="18">
        <f>'Safety Stock'!F67</f>
        <v/>
      </c>
      <c r="E67" s="17">
        <f>'Safety Stock'!T67</f>
        <v/>
      </c>
      <c r="F67" s="11" t="n">
        <v>10.06</v>
      </c>
      <c r="G67" s="11" t="n">
        <v>9</v>
      </c>
      <c r="H67" s="11">
        <f>F67*Assumptions!$C$9</f>
        <v/>
      </c>
      <c r="I67" s="12">
        <f>IF(AND(D67&gt;0,H67&gt;0),SQRT(2*365*D67*G67/H67),0)</f>
        <v/>
      </c>
      <c r="J67" s="12">
        <f>MIN(MAX(I67,D67*Assumptions!$C$6),D67*Assumptions!$C$11)</f>
        <v/>
      </c>
      <c r="K67" s="17">
        <f>E67+J67</f>
        <v/>
      </c>
      <c r="L67" s="10" t="n">
        <v>29</v>
      </c>
      <c r="M67" s="10" t="n">
        <v>0</v>
      </c>
      <c r="N67" s="10">
        <f>L67+M67</f>
        <v/>
      </c>
      <c r="O67" s="9">
        <f>AND(N67&lt;=E67+0.000000001,K67-N67&gt;0.000000001)</f>
        <v/>
      </c>
      <c r="P67" s="17">
        <f>IF(O67,K67-N67,0)</f>
        <v/>
      </c>
      <c r="Q67" s="10" t="n">
        <v>2</v>
      </c>
      <c r="R67" s="10" t="n">
        <v>4</v>
      </c>
      <c r="S67" s="10">
        <f>IF(O67,MAX(CEILING(ROUND(P67/Q67,6),1)*Q67,CEILING(R67/Q67,1)*Q67),0)</f>
        <v/>
      </c>
      <c r="T67" s="12">
        <f>IF(D67&gt;0,L67/D67,"no demand")</f>
        <v/>
      </c>
      <c r="U67" s="10" t="n">
        <v>0</v>
      </c>
      <c r="V67" s="9">
        <f>IF(S67=U67,"OK","CHECK")</f>
        <v/>
      </c>
    </row>
    <row r="68">
      <c r="A68" s="9" t="inlineStr">
        <is>
          <t>SYN_HOBBIES_1_009_CA_2</t>
        </is>
      </c>
      <c r="B68" s="9" t="inlineStr">
        <is>
          <t>SYN_HOBBIES_1_009</t>
        </is>
      </c>
      <c r="C68" s="9" t="inlineStr">
        <is>
          <t>CA_2</t>
        </is>
      </c>
      <c r="D68" s="18">
        <f>'Safety Stock'!F68</f>
        <v/>
      </c>
      <c r="E68" s="17">
        <f>'Safety Stock'!T68</f>
        <v/>
      </c>
      <c r="F68" s="11" t="n">
        <v>6.38</v>
      </c>
      <c r="G68" s="11" t="n">
        <v>9</v>
      </c>
      <c r="H68" s="11">
        <f>F68*Assumptions!$C$9</f>
        <v/>
      </c>
      <c r="I68" s="12">
        <f>IF(AND(D68&gt;0,H68&gt;0),SQRT(2*365*D68*G68/H68),0)</f>
        <v/>
      </c>
      <c r="J68" s="12">
        <f>MIN(MAX(I68,D68*Assumptions!$C$6),D68*Assumptions!$C$11)</f>
        <v/>
      </c>
      <c r="K68" s="17">
        <f>E68+J68</f>
        <v/>
      </c>
      <c r="L68" s="10" t="n">
        <v>80</v>
      </c>
      <c r="M68" s="10" t="n">
        <v>0</v>
      </c>
      <c r="N68" s="10">
        <f>L68+M68</f>
        <v/>
      </c>
      <c r="O68" s="9">
        <f>AND(N68&lt;=E68+0.000000001,K68-N68&gt;0.000000001)</f>
        <v/>
      </c>
      <c r="P68" s="17">
        <f>IF(O68,K68-N68,0)</f>
        <v/>
      </c>
      <c r="Q68" s="10" t="n">
        <v>12</v>
      </c>
      <c r="R68" s="10" t="n">
        <v>24</v>
      </c>
      <c r="S68" s="10">
        <f>IF(O68,MAX(CEILING(ROUND(P68/Q68,6),1)*Q68,CEILING(R68/Q68,1)*Q68),0)</f>
        <v/>
      </c>
      <c r="T68" s="12">
        <f>IF(D68&gt;0,L68/D68,"no demand")</f>
        <v/>
      </c>
      <c r="U68" s="10" t="n">
        <v>96</v>
      </c>
      <c r="V68" s="9">
        <f>IF(S68=U68,"OK","CHECK")</f>
        <v/>
      </c>
    </row>
    <row r="69">
      <c r="A69" s="9" t="inlineStr">
        <is>
          <t>SYN_HOBBIES_2_001_CA_2</t>
        </is>
      </c>
      <c r="B69" s="9" t="inlineStr">
        <is>
          <t>SYN_HOBBIES_2_001</t>
        </is>
      </c>
      <c r="C69" s="9" t="inlineStr">
        <is>
          <t>CA_2</t>
        </is>
      </c>
      <c r="D69" s="18">
        <f>'Safety Stock'!F69</f>
        <v/>
      </c>
      <c r="E69" s="17">
        <f>'Safety Stock'!T69</f>
        <v/>
      </c>
      <c r="F69" s="11" t="n">
        <v>8.15</v>
      </c>
      <c r="G69" s="11" t="n">
        <v>9</v>
      </c>
      <c r="H69" s="11">
        <f>F69*Assumptions!$C$9</f>
        <v/>
      </c>
      <c r="I69" s="12">
        <f>IF(AND(D69&gt;0,H69&gt;0),SQRT(2*365*D69*G69/H69),0)</f>
        <v/>
      </c>
      <c r="J69" s="12">
        <f>MIN(MAX(I69,D69*Assumptions!$C$6),D69*Assumptions!$C$11)</f>
        <v/>
      </c>
      <c r="K69" s="17">
        <f>E69+J69</f>
        <v/>
      </c>
      <c r="L69" s="10" t="n">
        <v>76</v>
      </c>
      <c r="M69" s="10" t="n">
        <v>0</v>
      </c>
      <c r="N69" s="10">
        <f>L69+M69</f>
        <v/>
      </c>
      <c r="O69" s="9">
        <f>AND(N69&lt;=E69+0.000000001,K69-N69&gt;0.000000001)</f>
        <v/>
      </c>
      <c r="P69" s="17">
        <f>IF(O69,K69-N69,0)</f>
        <v/>
      </c>
      <c r="Q69" s="10" t="n">
        <v>6</v>
      </c>
      <c r="R69" s="10" t="n">
        <v>12</v>
      </c>
      <c r="S69" s="10">
        <f>IF(O69,MAX(CEILING(ROUND(P69/Q69,6),1)*Q69,CEILING(R69/Q69,1)*Q69),0)</f>
        <v/>
      </c>
      <c r="T69" s="12">
        <f>IF(D69&gt;0,L69/D69,"no demand")</f>
        <v/>
      </c>
      <c r="U69" s="10" t="n">
        <v>174</v>
      </c>
      <c r="V69" s="9">
        <f>IF(S69=U69,"OK","CHECK")</f>
        <v/>
      </c>
    </row>
    <row r="70">
      <c r="A70" s="9" t="inlineStr">
        <is>
          <t>SYN_HOBBIES_2_004_CA_2</t>
        </is>
      </c>
      <c r="B70" s="9" t="inlineStr">
        <is>
          <t>SYN_HOBBIES_2_004</t>
        </is>
      </c>
      <c r="C70" s="9" t="inlineStr">
        <is>
          <t>CA_2</t>
        </is>
      </c>
      <c r="D70" s="18">
        <f>'Safety Stock'!F70</f>
        <v/>
      </c>
      <c r="E70" s="17">
        <f>'Safety Stock'!T70</f>
        <v/>
      </c>
      <c r="F70" s="11" t="n">
        <v>2.49</v>
      </c>
      <c r="G70" s="11" t="n">
        <v>9</v>
      </c>
      <c r="H70" s="11">
        <f>F70*Assumptions!$C$9</f>
        <v/>
      </c>
      <c r="I70" s="12">
        <f>IF(AND(D70&gt;0,H70&gt;0),SQRT(2*365*D70*G70/H70),0)</f>
        <v/>
      </c>
      <c r="J70" s="12">
        <f>MIN(MAX(I70,D70*Assumptions!$C$6),D70*Assumptions!$C$11)</f>
        <v/>
      </c>
      <c r="K70" s="17">
        <f>E70+J70</f>
        <v/>
      </c>
      <c r="L70" s="10" t="n">
        <v>350</v>
      </c>
      <c r="M70" s="10" t="n">
        <v>0</v>
      </c>
      <c r="N70" s="10">
        <f>L70+M70</f>
        <v/>
      </c>
      <c r="O70" s="9">
        <f>AND(N70&lt;=E70+0.000000001,K70-N70&gt;0.000000001)</f>
        <v/>
      </c>
      <c r="P70" s="17">
        <f>IF(O70,K70-N70,0)</f>
        <v/>
      </c>
      <c r="Q70" s="10" t="n">
        <v>12</v>
      </c>
      <c r="R70" s="10" t="n">
        <v>24</v>
      </c>
      <c r="S70" s="10">
        <f>IF(O70,MAX(CEILING(ROUND(P70/Q70,6),1)*Q70,CEILING(R70/Q70,1)*Q70),0)</f>
        <v/>
      </c>
      <c r="T70" s="12">
        <f>IF(D70&gt;0,L70/D70,"no demand")</f>
        <v/>
      </c>
      <c r="U70" s="10" t="n">
        <v>492</v>
      </c>
      <c r="V70" s="9">
        <f>IF(S70=U70,"OK","CHECK")</f>
        <v/>
      </c>
    </row>
    <row r="71">
      <c r="A71" s="9" t="inlineStr">
        <is>
          <t>SYN_HOBBIES_2_006_CA_2</t>
        </is>
      </c>
      <c r="B71" s="9" t="inlineStr">
        <is>
          <t>SYN_HOBBIES_2_006</t>
        </is>
      </c>
      <c r="C71" s="9" t="inlineStr">
        <is>
          <t>CA_2</t>
        </is>
      </c>
      <c r="D71" s="18">
        <f>'Safety Stock'!F71</f>
        <v/>
      </c>
      <c r="E71" s="17">
        <f>'Safety Stock'!T71</f>
        <v/>
      </c>
      <c r="F71" s="11" t="n">
        <v>7.81</v>
      </c>
      <c r="G71" s="11" t="n">
        <v>9</v>
      </c>
      <c r="H71" s="11">
        <f>F71*Assumptions!$C$9</f>
        <v/>
      </c>
      <c r="I71" s="12">
        <f>IF(AND(D71&gt;0,H71&gt;0),SQRT(2*365*D71*G71/H71),0)</f>
        <v/>
      </c>
      <c r="J71" s="12">
        <f>MIN(MAX(I71,D71*Assumptions!$C$6),D71*Assumptions!$C$11)</f>
        <v/>
      </c>
      <c r="K71" s="17">
        <f>E71+J71</f>
        <v/>
      </c>
      <c r="L71" s="10" t="n">
        <v>232</v>
      </c>
      <c r="M71" s="10" t="n">
        <v>192</v>
      </c>
      <c r="N71" s="10">
        <f>L71+M71</f>
        <v/>
      </c>
      <c r="O71" s="9">
        <f>AND(N71&lt;=E71+0.000000001,K71-N71&gt;0.000000001)</f>
        <v/>
      </c>
      <c r="P71" s="17">
        <f>IF(O71,K71-N71,0)</f>
        <v/>
      </c>
      <c r="Q71" s="10" t="n">
        <v>12</v>
      </c>
      <c r="R71" s="10" t="n">
        <v>24</v>
      </c>
      <c r="S71" s="10">
        <f>IF(O71,MAX(CEILING(ROUND(P71/Q71,6),1)*Q71,CEILING(R71/Q71,1)*Q71),0)</f>
        <v/>
      </c>
      <c r="T71" s="12">
        <f>IF(D71&gt;0,L71/D71,"no demand")</f>
        <v/>
      </c>
      <c r="U71" s="10" t="n">
        <v>0</v>
      </c>
      <c r="V71" s="9">
        <f>IF(S71=U71,"OK","CHECK")</f>
        <v/>
      </c>
    </row>
    <row r="72">
      <c r="A72" s="9" t="inlineStr">
        <is>
          <t>SYN_HOBBIES_2_009_CA_2</t>
        </is>
      </c>
      <c r="B72" s="9" t="inlineStr">
        <is>
          <t>SYN_HOBBIES_2_009</t>
        </is>
      </c>
      <c r="C72" s="9" t="inlineStr">
        <is>
          <t>CA_2</t>
        </is>
      </c>
      <c r="D72" s="18">
        <f>'Safety Stock'!F72</f>
        <v/>
      </c>
      <c r="E72" s="17">
        <f>'Safety Stock'!T72</f>
        <v/>
      </c>
      <c r="F72" s="11" t="n">
        <v>8.869999999999999</v>
      </c>
      <c r="G72" s="11" t="n">
        <v>9</v>
      </c>
      <c r="H72" s="11">
        <f>F72*Assumptions!$C$9</f>
        <v/>
      </c>
      <c r="I72" s="12">
        <f>IF(AND(D72&gt;0,H72&gt;0),SQRT(2*365*D72*G72/H72),0)</f>
        <v/>
      </c>
      <c r="J72" s="12">
        <f>MIN(MAX(I72,D72*Assumptions!$C$6),D72*Assumptions!$C$11)</f>
        <v/>
      </c>
      <c r="K72" s="17">
        <f>E72+J72</f>
        <v/>
      </c>
      <c r="L72" s="10" t="n">
        <v>371</v>
      </c>
      <c r="M72" s="10" t="n">
        <v>528</v>
      </c>
      <c r="N72" s="10">
        <f>L72+M72</f>
        <v/>
      </c>
      <c r="O72" s="9">
        <f>AND(N72&lt;=E72+0.000000001,K72-N72&gt;0.000000001)</f>
        <v/>
      </c>
      <c r="P72" s="17">
        <f>IF(O72,K72-N72,0)</f>
        <v/>
      </c>
      <c r="Q72" s="10" t="n">
        <v>12</v>
      </c>
      <c r="R72" s="10" t="n">
        <v>24</v>
      </c>
      <c r="S72" s="10">
        <f>IF(O72,MAX(CEILING(ROUND(P72/Q72,6),1)*Q72,CEILING(R72/Q72,1)*Q72),0)</f>
        <v/>
      </c>
      <c r="T72" s="12">
        <f>IF(D72&gt;0,L72/D72,"no demand")</f>
        <v/>
      </c>
      <c r="U72" s="10" t="n">
        <v>0</v>
      </c>
      <c r="V72" s="9">
        <f>IF(S72=U72,"OK","CHECK")</f>
        <v/>
      </c>
    </row>
    <row r="73">
      <c r="A73" s="9" t="inlineStr">
        <is>
          <t>SYN_HOUSEHOLD_1_002_CA_2</t>
        </is>
      </c>
      <c r="B73" s="9" t="inlineStr">
        <is>
          <t>SYN_HOUSEHOLD_1_002</t>
        </is>
      </c>
      <c r="C73" s="9" t="inlineStr">
        <is>
          <t>CA_2</t>
        </is>
      </c>
      <c r="D73" s="18">
        <f>'Safety Stock'!F73</f>
        <v/>
      </c>
      <c r="E73" s="17">
        <f>'Safety Stock'!T73</f>
        <v/>
      </c>
      <c r="F73" s="11" t="n">
        <v>3.16</v>
      </c>
      <c r="G73" s="11" t="n">
        <v>7</v>
      </c>
      <c r="H73" s="11">
        <f>F73*Assumptions!$C$9</f>
        <v/>
      </c>
      <c r="I73" s="12">
        <f>IF(AND(D73&gt;0,H73&gt;0),SQRT(2*365*D73*G73/H73),0)</f>
        <v/>
      </c>
      <c r="J73" s="12">
        <f>MIN(MAX(I73,D73*Assumptions!$C$6),D73*Assumptions!$C$11)</f>
        <v/>
      </c>
      <c r="K73" s="17">
        <f>E73+J73</f>
        <v/>
      </c>
      <c r="L73" s="10" t="n">
        <v>472</v>
      </c>
      <c r="M73" s="10" t="n">
        <v>0</v>
      </c>
      <c r="N73" s="10">
        <f>L73+M73</f>
        <v/>
      </c>
      <c r="O73" s="9">
        <f>AND(N73&lt;=E73+0.000000001,K73-N73&gt;0.000000001)</f>
        <v/>
      </c>
      <c r="P73" s="17">
        <f>IF(O73,K73-N73,0)</f>
        <v/>
      </c>
      <c r="Q73" s="10" t="n">
        <v>12</v>
      </c>
      <c r="R73" s="10" t="n">
        <v>12</v>
      </c>
      <c r="S73" s="10">
        <f>IF(O73,MAX(CEILING(ROUND(P73/Q73,6),1)*Q73,CEILING(R73/Q73,1)*Q73),0)</f>
        <v/>
      </c>
      <c r="T73" s="12">
        <f>IF(D73&gt;0,L73/D73,"no demand")</f>
        <v/>
      </c>
      <c r="U73" s="10" t="n">
        <v>0</v>
      </c>
      <c r="V73" s="9">
        <f>IF(S73=U73,"OK","CHECK")</f>
        <v/>
      </c>
    </row>
    <row r="74">
      <c r="A74" s="9" t="inlineStr">
        <is>
          <t>SYN_HOUSEHOLD_1_004_CA_2</t>
        </is>
      </c>
      <c r="B74" s="9" t="inlineStr">
        <is>
          <t>SYN_HOUSEHOLD_1_004</t>
        </is>
      </c>
      <c r="C74" s="9" t="inlineStr">
        <is>
          <t>CA_2</t>
        </is>
      </c>
      <c r="D74" s="18">
        <f>'Safety Stock'!F74</f>
        <v/>
      </c>
      <c r="E74" s="17">
        <f>'Safety Stock'!T74</f>
        <v/>
      </c>
      <c r="F74" s="11" t="n">
        <v>6.89</v>
      </c>
      <c r="G74" s="11" t="n">
        <v>7</v>
      </c>
      <c r="H74" s="11">
        <f>F74*Assumptions!$C$9</f>
        <v/>
      </c>
      <c r="I74" s="12">
        <f>IF(AND(D74&gt;0,H74&gt;0),SQRT(2*365*D74*G74/H74),0)</f>
        <v/>
      </c>
      <c r="J74" s="12">
        <f>MIN(MAX(I74,D74*Assumptions!$C$6),D74*Assumptions!$C$11)</f>
        <v/>
      </c>
      <c r="K74" s="17">
        <f>E74+J74</f>
        <v/>
      </c>
      <c r="L74" s="10" t="n">
        <v>14</v>
      </c>
      <c r="M74" s="10" t="n">
        <v>34</v>
      </c>
      <c r="N74" s="10">
        <f>L74+M74</f>
        <v/>
      </c>
      <c r="O74" s="9">
        <f>AND(N74&lt;=E74+0.000000001,K74-N74&gt;0.000000001)</f>
        <v/>
      </c>
      <c r="P74" s="17">
        <f>IF(O74,K74-N74,0)</f>
        <v/>
      </c>
      <c r="Q74" s="10" t="n">
        <v>2</v>
      </c>
      <c r="R74" s="10" t="n">
        <v>2</v>
      </c>
      <c r="S74" s="10">
        <f>IF(O74,MAX(CEILING(ROUND(P74/Q74,6),1)*Q74,CEILING(R74/Q74,1)*Q74),0)</f>
        <v/>
      </c>
      <c r="T74" s="12">
        <f>IF(D74&gt;0,L74/D74,"no demand")</f>
        <v/>
      </c>
      <c r="U74" s="10" t="n">
        <v>0</v>
      </c>
      <c r="V74" s="9">
        <f>IF(S74=U74,"OK","CHECK")</f>
        <v/>
      </c>
    </row>
    <row r="75">
      <c r="A75" s="9" t="inlineStr">
        <is>
          <t>SYN_HOUSEHOLD_1_006_CA_2</t>
        </is>
      </c>
      <c r="B75" s="9" t="inlineStr">
        <is>
          <t>SYN_HOUSEHOLD_1_006</t>
        </is>
      </c>
      <c r="C75" s="9" t="inlineStr">
        <is>
          <t>CA_2</t>
        </is>
      </c>
      <c r="D75" s="18">
        <f>'Safety Stock'!F75</f>
        <v/>
      </c>
      <c r="E75" s="17">
        <f>'Safety Stock'!T75</f>
        <v/>
      </c>
      <c r="F75" s="11" t="n">
        <v>4.85</v>
      </c>
      <c r="G75" s="11" t="n">
        <v>7</v>
      </c>
      <c r="H75" s="11">
        <f>F75*Assumptions!$C$9</f>
        <v/>
      </c>
      <c r="I75" s="12">
        <f>IF(AND(D75&gt;0,H75&gt;0),SQRT(2*365*D75*G75/H75),0)</f>
        <v/>
      </c>
      <c r="J75" s="12">
        <f>MIN(MAX(I75,D75*Assumptions!$C$6),D75*Assumptions!$C$11)</f>
        <v/>
      </c>
      <c r="K75" s="17">
        <f>E75+J75</f>
        <v/>
      </c>
      <c r="L75" s="10" t="n">
        <v>10</v>
      </c>
      <c r="M75" s="10" t="n">
        <v>0</v>
      </c>
      <c r="N75" s="10">
        <f>L75+M75</f>
        <v/>
      </c>
      <c r="O75" s="9">
        <f>AND(N75&lt;=E75+0.000000001,K75-N75&gt;0.000000001)</f>
        <v/>
      </c>
      <c r="P75" s="17">
        <f>IF(O75,K75-N75,0)</f>
        <v/>
      </c>
      <c r="Q75" s="10" t="n">
        <v>2</v>
      </c>
      <c r="R75" s="10" t="n">
        <v>2</v>
      </c>
      <c r="S75" s="10">
        <f>IF(O75,MAX(CEILING(ROUND(P75/Q75,6),1)*Q75,CEILING(R75/Q75,1)*Q75),0)</f>
        <v/>
      </c>
      <c r="T75" s="12">
        <f>IF(D75&gt;0,L75/D75,"no demand")</f>
        <v/>
      </c>
      <c r="U75" s="10" t="n">
        <v>0</v>
      </c>
      <c r="V75" s="9">
        <f>IF(S75=U75,"OK","CHECK")</f>
        <v/>
      </c>
    </row>
    <row r="76">
      <c r="A76" s="9" t="inlineStr">
        <is>
          <t>SYN_HOUSEHOLD_1_008_CA_2</t>
        </is>
      </c>
      <c r="B76" s="9" t="inlineStr">
        <is>
          <t>SYN_HOUSEHOLD_1_008</t>
        </is>
      </c>
      <c r="C76" s="9" t="inlineStr">
        <is>
          <t>CA_2</t>
        </is>
      </c>
      <c r="D76" s="18">
        <f>'Safety Stock'!F76</f>
        <v/>
      </c>
      <c r="E76" s="17">
        <f>'Safety Stock'!T76</f>
        <v/>
      </c>
      <c r="F76" s="11" t="n">
        <v>2.17</v>
      </c>
      <c r="G76" s="11" t="n">
        <v>7</v>
      </c>
      <c r="H76" s="11">
        <f>F76*Assumptions!$C$9</f>
        <v/>
      </c>
      <c r="I76" s="12">
        <f>IF(AND(D76&gt;0,H76&gt;0),SQRT(2*365*D76*G76/H76),0)</f>
        <v/>
      </c>
      <c r="J76" s="12">
        <f>MIN(MAX(I76,D76*Assumptions!$C$6),D76*Assumptions!$C$11)</f>
        <v/>
      </c>
      <c r="K76" s="17">
        <f>E76+J76</f>
        <v/>
      </c>
      <c r="L76" s="10" t="n">
        <v>176</v>
      </c>
      <c r="M76" s="10" t="n">
        <v>0</v>
      </c>
      <c r="N76" s="10">
        <f>L76+M76</f>
        <v/>
      </c>
      <c r="O76" s="9">
        <f>AND(N76&lt;=E76+0.000000001,K76-N76&gt;0.000000001)</f>
        <v/>
      </c>
      <c r="P76" s="17">
        <f>IF(O76,K76-N76,0)</f>
        <v/>
      </c>
      <c r="Q76" s="10" t="n">
        <v>12</v>
      </c>
      <c r="R76" s="10" t="n">
        <v>12</v>
      </c>
      <c r="S76" s="10">
        <f>IF(O76,MAX(CEILING(ROUND(P76/Q76,6),1)*Q76,CEILING(R76/Q76,1)*Q76),0)</f>
        <v/>
      </c>
      <c r="T76" s="12">
        <f>IF(D76&gt;0,L76/D76,"no demand")</f>
        <v/>
      </c>
      <c r="U76" s="10" t="n">
        <v>456</v>
      </c>
      <c r="V76" s="9">
        <f>IF(S76=U76,"OK","CHECK")</f>
        <v/>
      </c>
    </row>
    <row r="77">
      <c r="A77" s="9" t="inlineStr">
        <is>
          <t>SYN_HOUSEHOLD_1_009_CA_2</t>
        </is>
      </c>
      <c r="B77" s="9" t="inlineStr">
        <is>
          <t>SYN_HOUSEHOLD_1_009</t>
        </is>
      </c>
      <c r="C77" s="9" t="inlineStr">
        <is>
          <t>CA_2</t>
        </is>
      </c>
      <c r="D77" s="18">
        <f>'Safety Stock'!F77</f>
        <v/>
      </c>
      <c r="E77" s="17">
        <f>'Safety Stock'!T77</f>
        <v/>
      </c>
      <c r="F77" s="11" t="n">
        <v>11.99</v>
      </c>
      <c r="G77" s="11" t="n">
        <v>7</v>
      </c>
      <c r="H77" s="11">
        <f>F77*Assumptions!$C$9</f>
        <v/>
      </c>
      <c r="I77" s="12">
        <f>IF(AND(D77&gt;0,H77&gt;0),SQRT(2*365*D77*G77/H77),0)</f>
        <v/>
      </c>
      <c r="J77" s="12">
        <f>MIN(MAX(I77,D77*Assumptions!$C$6),D77*Assumptions!$C$11)</f>
        <v/>
      </c>
      <c r="K77" s="17">
        <f>E77+J77</f>
        <v/>
      </c>
      <c r="L77" s="10" t="n">
        <v>244</v>
      </c>
      <c r="M77" s="10" t="n">
        <v>0</v>
      </c>
      <c r="N77" s="10">
        <f>L77+M77</f>
        <v/>
      </c>
      <c r="O77" s="9">
        <f>AND(N77&lt;=E77+0.000000001,K77-N77&gt;0.000000001)</f>
        <v/>
      </c>
      <c r="P77" s="17">
        <f>IF(O77,K77-N77,0)</f>
        <v/>
      </c>
      <c r="Q77" s="10" t="n">
        <v>12</v>
      </c>
      <c r="R77" s="10" t="n">
        <v>12</v>
      </c>
      <c r="S77" s="10">
        <f>IF(O77,MAX(CEILING(ROUND(P77/Q77,6),1)*Q77,CEILING(R77/Q77,1)*Q77),0)</f>
        <v/>
      </c>
      <c r="T77" s="12">
        <f>IF(D77&gt;0,L77/D77,"no demand")</f>
        <v/>
      </c>
      <c r="U77" s="10" t="n">
        <v>0</v>
      </c>
      <c r="V77" s="9">
        <f>IF(S77=U77,"OK","CHECK")</f>
        <v/>
      </c>
    </row>
    <row r="78">
      <c r="A78" s="9" t="inlineStr">
        <is>
          <t>SYN_HOUSEHOLD_2_001_CA_2</t>
        </is>
      </c>
      <c r="B78" s="9" t="inlineStr">
        <is>
          <t>SYN_HOUSEHOLD_2_001</t>
        </is>
      </c>
      <c r="C78" s="9" t="inlineStr">
        <is>
          <t>CA_2</t>
        </is>
      </c>
      <c r="D78" s="18">
        <f>'Safety Stock'!F78</f>
        <v/>
      </c>
      <c r="E78" s="17">
        <f>'Safety Stock'!T78</f>
        <v/>
      </c>
      <c r="F78" s="11" t="n">
        <v>9.81</v>
      </c>
      <c r="G78" s="11" t="n">
        <v>8</v>
      </c>
      <c r="H78" s="11">
        <f>F78*Assumptions!$C$9</f>
        <v/>
      </c>
      <c r="I78" s="12">
        <f>IF(AND(D78&gt;0,H78&gt;0),SQRT(2*365*D78*G78/H78),0)</f>
        <v/>
      </c>
      <c r="J78" s="12">
        <f>MIN(MAX(I78,D78*Assumptions!$C$6),D78*Assumptions!$C$11)</f>
        <v/>
      </c>
      <c r="K78" s="17">
        <f>E78+J78</f>
        <v/>
      </c>
      <c r="L78" s="10" t="n">
        <v>259</v>
      </c>
      <c r="M78" s="10" t="n">
        <v>0</v>
      </c>
      <c r="N78" s="10">
        <f>L78+M78</f>
        <v/>
      </c>
      <c r="O78" s="9">
        <f>AND(N78&lt;=E78+0.000000001,K78-N78&gt;0.000000001)</f>
        <v/>
      </c>
      <c r="P78" s="17">
        <f>IF(O78,K78-N78,0)</f>
        <v/>
      </c>
      <c r="Q78" s="10" t="n">
        <v>12</v>
      </c>
      <c r="R78" s="10" t="n">
        <v>12</v>
      </c>
      <c r="S78" s="10">
        <f>IF(O78,MAX(CEILING(ROUND(P78/Q78,6),1)*Q78,CEILING(R78/Q78,1)*Q78),0)</f>
        <v/>
      </c>
      <c r="T78" s="12">
        <f>IF(D78&gt;0,L78/D78,"no demand")</f>
        <v/>
      </c>
      <c r="U78" s="10" t="n">
        <v>228</v>
      </c>
      <c r="V78" s="9">
        <f>IF(S78=U78,"OK","CHECK")</f>
        <v/>
      </c>
    </row>
    <row r="79">
      <c r="A79" s="9" t="inlineStr">
        <is>
          <t>SYN_HOUSEHOLD_2_002_CA_2</t>
        </is>
      </c>
      <c r="B79" s="9" t="inlineStr">
        <is>
          <t>SYN_HOUSEHOLD_2_002</t>
        </is>
      </c>
      <c r="C79" s="9" t="inlineStr">
        <is>
          <t>CA_2</t>
        </is>
      </c>
      <c r="D79" s="18">
        <f>'Safety Stock'!F79</f>
        <v/>
      </c>
      <c r="E79" s="17">
        <f>'Safety Stock'!T79</f>
        <v/>
      </c>
      <c r="F79" s="11" t="n">
        <v>7.1</v>
      </c>
      <c r="G79" s="11" t="n">
        <v>8</v>
      </c>
      <c r="H79" s="11">
        <f>F79*Assumptions!$C$9</f>
        <v/>
      </c>
      <c r="I79" s="12">
        <f>IF(AND(D79&gt;0,H79&gt;0),SQRT(2*365*D79*G79/H79),0)</f>
        <v/>
      </c>
      <c r="J79" s="12">
        <f>MIN(MAX(I79,D79*Assumptions!$C$6),D79*Assumptions!$C$11)</f>
        <v/>
      </c>
      <c r="K79" s="17">
        <f>E79+J79</f>
        <v/>
      </c>
      <c r="L79" s="10" t="n">
        <v>16</v>
      </c>
      <c r="M79" s="10" t="n">
        <v>0</v>
      </c>
      <c r="N79" s="10">
        <f>L79+M79</f>
        <v/>
      </c>
      <c r="O79" s="9">
        <f>AND(N79&lt;=E79+0.000000001,K79-N79&gt;0.000000001)</f>
        <v/>
      </c>
      <c r="P79" s="17">
        <f>IF(O79,K79-N79,0)</f>
        <v/>
      </c>
      <c r="Q79" s="10" t="n">
        <v>2</v>
      </c>
      <c r="R79" s="10" t="n">
        <v>2</v>
      </c>
      <c r="S79" s="10">
        <f>IF(O79,MAX(CEILING(ROUND(P79/Q79,6),1)*Q79,CEILING(R79/Q79,1)*Q79),0)</f>
        <v/>
      </c>
      <c r="T79" s="12">
        <f>IF(D79&gt;0,L79/D79,"no demand")</f>
        <v/>
      </c>
      <c r="U79" s="10" t="n">
        <v>20</v>
      </c>
      <c r="V79" s="9">
        <f>IF(S79=U79,"OK","CHECK")</f>
        <v/>
      </c>
    </row>
    <row r="80">
      <c r="A80" s="9" t="inlineStr">
        <is>
          <t>SYN_HOUSEHOLD_2_003_CA_2</t>
        </is>
      </c>
      <c r="B80" s="9" t="inlineStr">
        <is>
          <t>SYN_HOUSEHOLD_2_003</t>
        </is>
      </c>
      <c r="C80" s="9" t="inlineStr">
        <is>
          <t>CA_2</t>
        </is>
      </c>
      <c r="D80" s="18">
        <f>'Safety Stock'!F80</f>
        <v/>
      </c>
      <c r="E80" s="17">
        <f>'Safety Stock'!T80</f>
        <v/>
      </c>
      <c r="F80" s="11" t="n">
        <v>9.94</v>
      </c>
      <c r="G80" s="11" t="n">
        <v>8</v>
      </c>
      <c r="H80" s="11">
        <f>F80*Assumptions!$C$9</f>
        <v/>
      </c>
      <c r="I80" s="12">
        <f>IF(AND(D80&gt;0,H80&gt;0),SQRT(2*365*D80*G80/H80),0)</f>
        <v/>
      </c>
      <c r="J80" s="12">
        <f>MIN(MAX(I80,D80*Assumptions!$C$6),D80*Assumptions!$C$11)</f>
        <v/>
      </c>
      <c r="K80" s="17">
        <f>E80+J80</f>
        <v/>
      </c>
      <c r="L80" s="10" t="n">
        <v>72</v>
      </c>
      <c r="M80" s="10" t="n">
        <v>0</v>
      </c>
      <c r="N80" s="10">
        <f>L80+M80</f>
        <v/>
      </c>
      <c r="O80" s="9">
        <f>AND(N80&lt;=E80+0.000000001,K80-N80&gt;0.000000001)</f>
        <v/>
      </c>
      <c r="P80" s="17">
        <f>IF(O80,K80-N80,0)</f>
        <v/>
      </c>
      <c r="Q80" s="10" t="n">
        <v>6</v>
      </c>
      <c r="R80" s="10" t="n">
        <v>6</v>
      </c>
      <c r="S80" s="10">
        <f>IF(O80,MAX(CEILING(ROUND(P80/Q80,6),1)*Q80,CEILING(R80/Q80,1)*Q80),0)</f>
        <v/>
      </c>
      <c r="T80" s="12">
        <f>IF(D80&gt;0,L80/D80,"no demand")</f>
        <v/>
      </c>
      <c r="U80" s="10" t="n">
        <v>126</v>
      </c>
      <c r="V80" s="9">
        <f>IF(S80=U80,"OK","CHECK")</f>
        <v/>
      </c>
    </row>
    <row r="81">
      <c r="A81" s="9" t="inlineStr">
        <is>
          <t>SYN_HOUSEHOLD_2_004_CA_2</t>
        </is>
      </c>
      <c r="B81" s="9" t="inlineStr">
        <is>
          <t>SYN_HOUSEHOLD_2_004</t>
        </is>
      </c>
      <c r="C81" s="9" t="inlineStr">
        <is>
          <t>CA_2</t>
        </is>
      </c>
      <c r="D81" s="18">
        <f>'Safety Stock'!F81</f>
        <v/>
      </c>
      <c r="E81" s="17">
        <f>'Safety Stock'!T81</f>
        <v/>
      </c>
      <c r="F81" s="11" t="n">
        <v>6.05</v>
      </c>
      <c r="G81" s="11" t="n">
        <v>8</v>
      </c>
      <c r="H81" s="11">
        <f>F81*Assumptions!$C$9</f>
        <v/>
      </c>
      <c r="I81" s="12">
        <f>IF(AND(D81&gt;0,H81&gt;0),SQRT(2*365*D81*G81/H81),0)</f>
        <v/>
      </c>
      <c r="J81" s="12">
        <f>MIN(MAX(I81,D81*Assumptions!$C$6),D81*Assumptions!$C$11)</f>
        <v/>
      </c>
      <c r="K81" s="17">
        <f>E81+J81</f>
        <v/>
      </c>
      <c r="L81" s="10" t="n">
        <v>495</v>
      </c>
      <c r="M81" s="10" t="n">
        <v>0</v>
      </c>
      <c r="N81" s="10">
        <f>L81+M81</f>
        <v/>
      </c>
      <c r="O81" s="9">
        <f>AND(N81&lt;=E81+0.000000001,K81-N81&gt;0.000000001)</f>
        <v/>
      </c>
      <c r="P81" s="17">
        <f>IF(O81,K81-N81,0)</f>
        <v/>
      </c>
      <c r="Q81" s="10" t="n">
        <v>12</v>
      </c>
      <c r="R81" s="10" t="n">
        <v>12</v>
      </c>
      <c r="S81" s="10">
        <f>IF(O81,MAX(CEILING(ROUND(P81/Q81,6),1)*Q81,CEILING(R81/Q81,1)*Q81),0)</f>
        <v/>
      </c>
      <c r="T81" s="12">
        <f>IF(D81&gt;0,L81/D81,"no demand")</f>
        <v/>
      </c>
      <c r="U81" s="10" t="n">
        <v>324</v>
      </c>
      <c r="V81" s="9">
        <f>IF(S81=U81,"OK","CHECK")</f>
        <v/>
      </c>
    </row>
    <row r="82">
      <c r="A82" s="9" t="inlineStr">
        <is>
          <t>SYN_HOUSEHOLD_2_005_CA_2</t>
        </is>
      </c>
      <c r="B82" s="9" t="inlineStr">
        <is>
          <t>SYN_HOUSEHOLD_2_005</t>
        </is>
      </c>
      <c r="C82" s="9" t="inlineStr">
        <is>
          <t>CA_2</t>
        </is>
      </c>
      <c r="D82" s="18">
        <f>'Safety Stock'!F82</f>
        <v/>
      </c>
      <c r="E82" s="17">
        <f>'Safety Stock'!T82</f>
        <v/>
      </c>
      <c r="F82" s="11" t="n">
        <v>12.02</v>
      </c>
      <c r="G82" s="11" t="n">
        <v>8</v>
      </c>
      <c r="H82" s="11">
        <f>F82*Assumptions!$C$9</f>
        <v/>
      </c>
      <c r="I82" s="12">
        <f>IF(AND(D82&gt;0,H82&gt;0),SQRT(2*365*D82*G82/H82),0)</f>
        <v/>
      </c>
      <c r="J82" s="12">
        <f>MIN(MAX(I82,D82*Assumptions!$C$6),D82*Assumptions!$C$11)</f>
        <v/>
      </c>
      <c r="K82" s="17">
        <f>E82+J82</f>
        <v/>
      </c>
      <c r="L82" s="10" t="n">
        <v>28</v>
      </c>
      <c r="M82" s="10" t="n">
        <v>0</v>
      </c>
      <c r="N82" s="10">
        <f>L82+M82</f>
        <v/>
      </c>
      <c r="O82" s="9">
        <f>AND(N82&lt;=E82+0.000000001,K82-N82&gt;0.000000001)</f>
        <v/>
      </c>
      <c r="P82" s="17">
        <f>IF(O82,K82-N82,0)</f>
        <v/>
      </c>
      <c r="Q82" s="10" t="n">
        <v>4</v>
      </c>
      <c r="R82" s="10" t="n">
        <v>4</v>
      </c>
      <c r="S82" s="10">
        <f>IF(O82,MAX(CEILING(ROUND(P82/Q82,6),1)*Q82,CEILING(R82/Q82,1)*Q82),0)</f>
        <v/>
      </c>
      <c r="T82" s="12">
        <f>IF(D82&gt;0,L82/D82,"no demand")</f>
        <v/>
      </c>
      <c r="U82" s="10" t="n">
        <v>0</v>
      </c>
      <c r="V82" s="9">
        <f>IF(S82=U82,"OK","CHECK")</f>
        <v/>
      </c>
    </row>
    <row r="83">
      <c r="A83" s="9" t="inlineStr">
        <is>
          <t>SYN_HOUSEHOLD_2_006_CA_2</t>
        </is>
      </c>
      <c r="B83" s="9" t="inlineStr">
        <is>
          <t>SYN_HOUSEHOLD_2_006</t>
        </is>
      </c>
      <c r="C83" s="9" t="inlineStr">
        <is>
          <t>CA_2</t>
        </is>
      </c>
      <c r="D83" s="18">
        <f>'Safety Stock'!F83</f>
        <v/>
      </c>
      <c r="E83" s="17">
        <f>'Safety Stock'!T83</f>
        <v/>
      </c>
      <c r="F83" s="11" t="n">
        <v>8.199999999999999</v>
      </c>
      <c r="G83" s="11" t="n">
        <v>8</v>
      </c>
      <c r="H83" s="11">
        <f>F83*Assumptions!$C$9</f>
        <v/>
      </c>
      <c r="I83" s="12">
        <f>IF(AND(D83&gt;0,H83&gt;0),SQRT(2*365*D83*G83/H83),0)</f>
        <v/>
      </c>
      <c r="J83" s="12">
        <f>MIN(MAX(I83,D83*Assumptions!$C$6),D83*Assumptions!$C$11)</f>
        <v/>
      </c>
      <c r="K83" s="17">
        <f>E83+J83</f>
        <v/>
      </c>
      <c r="L83" s="10" t="n">
        <v>262</v>
      </c>
      <c r="M83" s="10" t="n">
        <v>0</v>
      </c>
      <c r="N83" s="10">
        <f>L83+M83</f>
        <v/>
      </c>
      <c r="O83" s="9">
        <f>AND(N83&lt;=E83+0.000000001,K83-N83&gt;0.000000001)</f>
        <v/>
      </c>
      <c r="P83" s="17">
        <f>IF(O83,K83-N83,0)</f>
        <v/>
      </c>
      <c r="Q83" s="10" t="n">
        <v>12</v>
      </c>
      <c r="R83" s="10" t="n">
        <v>12</v>
      </c>
      <c r="S83" s="10">
        <f>IF(O83,MAX(CEILING(ROUND(P83/Q83,6),1)*Q83,CEILING(R83/Q83,1)*Q83),0)</f>
        <v/>
      </c>
      <c r="T83" s="12">
        <f>IF(D83&gt;0,L83/D83,"no demand")</f>
        <v/>
      </c>
      <c r="U83" s="10" t="n">
        <v>0</v>
      </c>
      <c r="V83" s="9">
        <f>IF(S83=U83,"OK","CHECK")</f>
        <v/>
      </c>
    </row>
    <row r="84">
      <c r="A84" s="9" t="inlineStr">
        <is>
          <t>SYN_HOUSEHOLD_2_008_CA_2</t>
        </is>
      </c>
      <c r="B84" s="9" t="inlineStr">
        <is>
          <t>SYN_HOUSEHOLD_2_008</t>
        </is>
      </c>
      <c r="C84" s="9" t="inlineStr">
        <is>
          <t>CA_2</t>
        </is>
      </c>
      <c r="D84" s="18">
        <f>'Safety Stock'!F84</f>
        <v/>
      </c>
      <c r="E84" s="17">
        <f>'Safety Stock'!T84</f>
        <v/>
      </c>
      <c r="F84" s="11" t="n">
        <v>2.62</v>
      </c>
      <c r="G84" s="11" t="n">
        <v>8</v>
      </c>
      <c r="H84" s="11">
        <f>F84*Assumptions!$C$9</f>
        <v/>
      </c>
      <c r="I84" s="12">
        <f>IF(AND(D84&gt;0,H84&gt;0),SQRT(2*365*D84*G84/H84),0)</f>
        <v/>
      </c>
      <c r="J84" s="12">
        <f>MIN(MAX(I84,D84*Assumptions!$C$6),D84*Assumptions!$C$11)</f>
        <v/>
      </c>
      <c r="K84" s="17">
        <f>E84+J84</f>
        <v/>
      </c>
      <c r="L84" s="10" t="n">
        <v>14</v>
      </c>
      <c r="M84" s="10" t="n">
        <v>120</v>
      </c>
      <c r="N84" s="10">
        <f>L84+M84</f>
        <v/>
      </c>
      <c r="O84" s="9">
        <f>AND(N84&lt;=E84+0.000000001,K84-N84&gt;0.000000001)</f>
        <v/>
      </c>
      <c r="P84" s="17">
        <f>IF(O84,K84-N84,0)</f>
        <v/>
      </c>
      <c r="Q84" s="10" t="n">
        <v>12</v>
      </c>
      <c r="R84" s="10" t="n">
        <v>12</v>
      </c>
      <c r="S84" s="10">
        <f>IF(O84,MAX(CEILING(ROUND(P84/Q84,6),1)*Q84,CEILING(R84/Q84,1)*Q84),0)</f>
        <v/>
      </c>
      <c r="T84" s="12">
        <f>IF(D84&gt;0,L84/D84,"no demand")</f>
        <v/>
      </c>
      <c r="U84" s="10" t="n">
        <v>0</v>
      </c>
      <c r="V84" s="9">
        <f>IF(S84=U84,"OK","CHECK")</f>
        <v/>
      </c>
    </row>
  </sheetData>
  <autoFilter ref="A4:V8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17E83"/>
    <outlinePr summaryBelow="1" summaryRight="1"/>
    <pageSetUpPr/>
  </sheetPr>
  <dimension ref="A1:M8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6" customWidth="1" min="2" max="2"/>
    <col width="7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24" customWidth="1" min="9" max="9"/>
    <col width="9" customWidth="1" min="10" max="10"/>
    <col width="12" customWidth="1" min="11" max="11"/>
    <col width="12" customWidth="1" min="12" max="12"/>
    <col width="90" customWidth="1" min="13" max="13"/>
  </cols>
  <sheetData>
    <row r="1">
      <c r="A1" s="1" t="inlineStr">
        <is>
          <t>Purchase recommendations</t>
        </is>
      </c>
    </row>
    <row r="2">
      <c r="A2" s="2" t="inlineStr">
        <is>
          <t>Recommended qty is live (Reorder Points). Funded qty applies supplier capacity and budget in priority order (Python allocation, values).</t>
        </is>
      </c>
    </row>
    <row r="4" ht="32" customHeight="1">
      <c r="A4" s="5" t="inlineStr">
        <is>
          <t>Series</t>
        </is>
      </c>
      <c r="B4" s="5" t="inlineStr">
        <is>
          <t>Item</t>
        </is>
      </c>
      <c r="C4" s="5" t="inlineStr">
        <is>
          <t>Store</t>
        </is>
      </c>
      <c r="D4" s="5" t="inlineStr">
        <is>
          <t>Supplier</t>
        </is>
      </c>
      <c r="E4" s="5" t="inlineStr">
        <is>
          <t>Risk</t>
        </is>
      </c>
      <c r="F4" s="5" t="inlineStr">
        <is>
          <t>Priority</t>
        </is>
      </c>
      <c r="G4" s="5" t="inlineStr">
        <is>
          <t>Recommended qty (live)</t>
        </is>
      </c>
      <c r="H4" s="5" t="inlineStr">
        <is>
          <t>Funded qty (Python)</t>
        </is>
      </c>
      <c r="I4" s="5" t="inlineStr">
        <is>
          <t>Status</t>
        </is>
      </c>
      <c r="J4" s="5" t="inlineStr">
        <is>
          <t>Unit cost</t>
        </is>
      </c>
      <c r="K4" s="5" t="inlineStr">
        <is>
          <t>Order value</t>
        </is>
      </c>
      <c r="L4" s="5" t="inlineStr">
        <is>
          <t>Expected receipt</t>
        </is>
      </c>
      <c r="M4" s="5" t="inlineStr">
        <is>
          <t>Reason</t>
        </is>
      </c>
    </row>
    <row r="5">
      <c r="A5" s="9" t="inlineStr">
        <is>
          <t>SYN_FOODS_1_001_CA_1</t>
        </is>
      </c>
      <c r="B5" s="9" t="inlineStr">
        <is>
          <t>SYN_FOODS_1_001</t>
        </is>
      </c>
      <c r="C5" s="9" t="inlineStr">
        <is>
          <t>CA_1</t>
        </is>
      </c>
      <c r="D5" s="9" t="inlineStr">
        <is>
          <t>SUP-01</t>
        </is>
      </c>
      <c r="E5" s="9" t="inlineStr">
        <is>
          <t>Medium</t>
        </is>
      </c>
      <c r="F5" s="10" t="n">
        <v>32</v>
      </c>
      <c r="G5" s="10">
        <f>'Reorder Points'!S5</f>
        <v/>
      </c>
      <c r="H5" s="10" t="n">
        <v>132</v>
      </c>
      <c r="I5" s="9" t="inlineStr">
        <is>
          <t>Order</t>
        </is>
      </c>
      <c r="J5" s="11" t="n">
        <v>3.77</v>
      </c>
      <c r="K5" s="11">
        <f>H5*J5</f>
        <v/>
      </c>
      <c r="L5" s="9" t="inlineStr">
        <is>
          <t>2026-05-02</t>
        </is>
      </c>
      <c r="M5" s="9" t="inlineStr">
        <is>
          <t>Inventory position 75 is at or below the reorder point 75.8. Ordering up to 199.3 needs 124.3 units, rounded up to whole cases of 12 = 132 units.</t>
        </is>
      </c>
    </row>
    <row r="6">
      <c r="A6" s="9" t="inlineStr">
        <is>
          <t>SYN_FOODS_1_003_CA_1</t>
        </is>
      </c>
      <c r="B6" s="9" t="inlineStr">
        <is>
          <t>SYN_FOODS_1_003</t>
        </is>
      </c>
      <c r="C6" s="9" t="inlineStr">
        <is>
          <t>CA_1</t>
        </is>
      </c>
      <c r="D6" s="9" t="inlineStr">
        <is>
          <t>SUP-01</t>
        </is>
      </c>
      <c r="E6" s="9" t="inlineStr">
        <is>
          <t>Low</t>
        </is>
      </c>
      <c r="F6" s="10" t="n">
        <v>79</v>
      </c>
      <c r="G6" s="10">
        <f>'Reorder Points'!S6</f>
        <v/>
      </c>
      <c r="H6" s="10" t="n">
        <v>0</v>
      </c>
      <c r="I6" s="9" t="inlineStr">
        <is>
          <t>No order needed</t>
        </is>
      </c>
      <c r="J6" s="11" t="n">
        <v>1.88</v>
      </c>
      <c r="K6" s="11">
        <f>H6*J6</f>
        <v/>
      </c>
      <c r="L6" s="9" t="inlineStr">
        <is>
          <t>nan</t>
        </is>
      </c>
      <c r="M6" s="9" t="inlineStr">
        <is>
          <t>Inventory position 28 is above the reorder point 17.0; no order is needed at this review.</t>
        </is>
      </c>
    </row>
    <row r="7">
      <c r="A7" s="9" t="inlineStr">
        <is>
          <t>SYN_FOODS_1_008_CA_1</t>
        </is>
      </c>
      <c r="B7" s="9" t="inlineStr">
        <is>
          <t>SYN_FOODS_1_008</t>
        </is>
      </c>
      <c r="C7" s="9" t="inlineStr">
        <is>
          <t>CA_1</t>
        </is>
      </c>
      <c r="D7" s="9" t="inlineStr">
        <is>
          <t>SUP-01</t>
        </is>
      </c>
      <c r="E7" s="9" t="inlineStr">
        <is>
          <t>Medium</t>
        </is>
      </c>
      <c r="F7" s="10" t="n">
        <v>24</v>
      </c>
      <c r="G7" s="10">
        <f>'Reorder Points'!S7</f>
        <v/>
      </c>
      <c r="H7" s="10" t="n">
        <v>84</v>
      </c>
      <c r="I7" s="9" t="inlineStr">
        <is>
          <t>Order</t>
        </is>
      </c>
      <c r="J7" s="11" t="n">
        <v>4.63</v>
      </c>
      <c r="K7" s="11">
        <f>H7*J7</f>
        <v/>
      </c>
      <c r="L7" s="9" t="inlineStr">
        <is>
          <t>2026-05-02</t>
        </is>
      </c>
      <c r="M7" s="9" t="inlineStr">
        <is>
          <t>Inventory position 30 is at or below the reorder point 45.0. Ordering up to 111.4 needs 81.4 units, rounded up to whole cases of 6 = 84 units.</t>
        </is>
      </c>
    </row>
    <row r="8">
      <c r="A8" s="9" t="inlineStr">
        <is>
          <t>SYN_FOODS_1_009_CA_1</t>
        </is>
      </c>
      <c r="B8" s="9" t="inlineStr">
        <is>
          <t>SYN_FOODS_1_009</t>
        </is>
      </c>
      <c r="C8" s="9" t="inlineStr">
        <is>
          <t>CA_1</t>
        </is>
      </c>
      <c r="D8" s="9" t="inlineStr">
        <is>
          <t>SUP-01</t>
        </is>
      </c>
      <c r="E8" s="9" t="inlineStr">
        <is>
          <t>Low</t>
        </is>
      </c>
      <c r="F8" s="10" t="n">
        <v>63</v>
      </c>
      <c r="G8" s="10">
        <f>'Reorder Points'!S8</f>
        <v/>
      </c>
      <c r="H8" s="10" t="n">
        <v>0</v>
      </c>
      <c r="I8" s="9" t="inlineStr">
        <is>
          <t>No order needed</t>
        </is>
      </c>
      <c r="J8" s="11" t="n">
        <v>5.45</v>
      </c>
      <c r="K8" s="11">
        <f>H8*J8</f>
        <v/>
      </c>
      <c r="L8" s="9" t="inlineStr">
        <is>
          <t>nan</t>
        </is>
      </c>
      <c r="M8" s="9" t="inlineStr">
        <is>
          <t>Inventory position 318 is above the reorder point 198.0; no order is needed at this review.</t>
        </is>
      </c>
    </row>
    <row r="9">
      <c r="A9" s="9" t="inlineStr">
        <is>
          <t>SYN_FOODS_2_004_CA_1</t>
        </is>
      </c>
      <c r="B9" s="9" t="inlineStr">
        <is>
          <t>SYN_FOODS_2_004</t>
        </is>
      </c>
      <c r="C9" s="9" t="inlineStr">
        <is>
          <t>CA_1</t>
        </is>
      </c>
      <c r="D9" s="9" t="inlineStr">
        <is>
          <t>SUP-02</t>
        </is>
      </c>
      <c r="E9" s="9" t="inlineStr">
        <is>
          <t>Medium</t>
        </is>
      </c>
      <c r="F9" s="10" t="n">
        <v>22</v>
      </c>
      <c r="G9" s="10">
        <f>'Reorder Points'!S9</f>
        <v/>
      </c>
      <c r="H9" s="10" t="n">
        <v>34</v>
      </c>
      <c r="I9" s="9" t="inlineStr">
        <is>
          <t>Order</t>
        </is>
      </c>
      <c r="J9" s="11" t="n">
        <v>2.01</v>
      </c>
      <c r="K9" s="11">
        <f>H9*J9</f>
        <v/>
      </c>
      <c r="L9" s="9" t="inlineStr">
        <is>
          <t>2026-05-03</t>
        </is>
      </c>
      <c r="M9" s="9" t="inlineStr">
        <is>
          <t>Inventory position 15 is at or below the reorder point 20.5. Ordering up to 47.8 needs 32.8 units, rounded up to whole cases of 2 = 34 units.</t>
        </is>
      </c>
    </row>
    <row r="10">
      <c r="A10" s="9" t="inlineStr">
        <is>
          <t>SYN_FOODS_2_005_CA_1</t>
        </is>
      </c>
      <c r="B10" s="9" t="inlineStr">
        <is>
          <t>SYN_FOODS_2_005</t>
        </is>
      </c>
      <c r="C10" s="9" t="inlineStr">
        <is>
          <t>CA_1</t>
        </is>
      </c>
      <c r="D10" s="9" t="inlineStr">
        <is>
          <t>SUP-02</t>
        </is>
      </c>
      <c r="E10" s="9" t="inlineStr">
        <is>
          <t>Medium</t>
        </is>
      </c>
      <c r="F10" s="10" t="n">
        <v>8</v>
      </c>
      <c r="G10" s="10">
        <f>'Reorder Points'!S10</f>
        <v/>
      </c>
      <c r="H10" s="10" t="n">
        <v>80</v>
      </c>
      <c r="I10" s="9" t="inlineStr">
        <is>
          <t>Order</t>
        </is>
      </c>
      <c r="J10" s="11" t="n">
        <v>5.21</v>
      </c>
      <c r="K10" s="11">
        <f>H10*J10</f>
        <v/>
      </c>
      <c r="L10" s="9" t="inlineStr">
        <is>
          <t>2026-05-03</t>
        </is>
      </c>
      <c r="M10" s="9" t="inlineStr">
        <is>
          <t>Inventory position 12 is at or below the reorder point 48.0. Ordering up to 90.0 needs 78.0 units, rounded up to whole cases of 4 = 80 units.</t>
        </is>
      </c>
    </row>
    <row r="11">
      <c r="A11" s="9" t="inlineStr">
        <is>
          <t>SYN_FOODS_2_006_CA_1</t>
        </is>
      </c>
      <c r="B11" s="9" t="inlineStr">
        <is>
          <t>SYN_FOODS_2_006</t>
        </is>
      </c>
      <c r="C11" s="9" t="inlineStr">
        <is>
          <t>CA_1</t>
        </is>
      </c>
      <c r="D11" s="9" t="inlineStr">
        <is>
          <t>SUP-02</t>
        </is>
      </c>
      <c r="E11" s="9" t="inlineStr">
        <is>
          <t>Low</t>
        </is>
      </c>
      <c r="F11" s="10" t="n">
        <v>75</v>
      </c>
      <c r="G11" s="10">
        <f>'Reorder Points'!S11</f>
        <v/>
      </c>
      <c r="H11" s="10" t="n">
        <v>0</v>
      </c>
      <c r="I11" s="9" t="inlineStr">
        <is>
          <t>No order needed</t>
        </is>
      </c>
      <c r="J11" s="11" t="n">
        <v>1.46</v>
      </c>
      <c r="K11" s="11">
        <f>H11*J11</f>
        <v/>
      </c>
      <c r="L11" s="9" t="inlineStr">
        <is>
          <t>nan</t>
        </is>
      </c>
      <c r="M11" s="9" t="inlineStr">
        <is>
          <t>Inventory position 66 is above the reorder point 34.2; no order is needed at this review.</t>
        </is>
      </c>
    </row>
    <row r="12">
      <c r="A12" s="9" t="inlineStr">
        <is>
          <t>SYN_FOODS_2_008_CA_1</t>
        </is>
      </c>
      <c r="B12" s="9" t="inlineStr">
        <is>
          <t>SYN_FOODS_2_008</t>
        </is>
      </c>
      <c r="C12" s="9" t="inlineStr">
        <is>
          <t>CA_1</t>
        </is>
      </c>
      <c r="D12" s="9" t="inlineStr">
        <is>
          <t>SUP-02</t>
        </is>
      </c>
      <c r="E12" s="9" t="inlineStr">
        <is>
          <t>Medium</t>
        </is>
      </c>
      <c r="F12" s="10" t="n">
        <v>10</v>
      </c>
      <c r="G12" s="10">
        <f>'Reorder Points'!S12</f>
        <v/>
      </c>
      <c r="H12" s="10" t="n">
        <v>36</v>
      </c>
      <c r="I12" s="9" t="inlineStr">
        <is>
          <t>Order</t>
        </is>
      </c>
      <c r="J12" s="11" t="n">
        <v>4.95</v>
      </c>
      <c r="K12" s="11">
        <f>H12*J12</f>
        <v/>
      </c>
      <c r="L12" s="9" t="inlineStr">
        <is>
          <t>2026-05-03</t>
        </is>
      </c>
      <c r="M12" s="9" t="inlineStr">
        <is>
          <t>Inventory position 7 is at or below the reorder point 17.0. Ordering up to 39.6 needs 32.6 units, rounded up to whole cases of 4 = 36 units.</t>
        </is>
      </c>
    </row>
    <row r="13">
      <c r="A13" s="9" t="inlineStr">
        <is>
          <t>SYN_FOODS_2_009_CA_1</t>
        </is>
      </c>
      <c r="B13" s="9" t="inlineStr">
        <is>
          <t>SYN_FOODS_2_009</t>
        </is>
      </c>
      <c r="C13" s="9" t="inlineStr">
        <is>
          <t>CA_1</t>
        </is>
      </c>
      <c r="D13" s="9" t="inlineStr">
        <is>
          <t>SUP-02</t>
        </is>
      </c>
      <c r="E13" s="9" t="inlineStr">
        <is>
          <t>Low</t>
        </is>
      </c>
      <c r="F13" s="10" t="n">
        <v>59</v>
      </c>
      <c r="G13" s="10">
        <f>'Reorder Points'!S13</f>
        <v/>
      </c>
      <c r="H13" s="10" t="n">
        <v>0</v>
      </c>
      <c r="I13" s="9" t="inlineStr">
        <is>
          <t>No order needed</t>
        </is>
      </c>
      <c r="J13" s="11" t="n">
        <v>4.18</v>
      </c>
      <c r="K13" s="11">
        <f>H13*J13</f>
        <v/>
      </c>
      <c r="L13" s="9" t="inlineStr">
        <is>
          <t>nan</t>
        </is>
      </c>
      <c r="M13" s="9" t="inlineStr">
        <is>
          <t>Inventory position 583 is above the reorder point 459.4; no order is needed at this review.</t>
        </is>
      </c>
    </row>
    <row r="14">
      <c r="A14" s="9" t="inlineStr">
        <is>
          <t>SYN_FOODS_3_002_CA_1</t>
        </is>
      </c>
      <c r="B14" s="9" t="inlineStr">
        <is>
          <t>SYN_FOODS_3_002</t>
        </is>
      </c>
      <c r="C14" s="9" t="inlineStr">
        <is>
          <t>CA_1</t>
        </is>
      </c>
      <c r="D14" s="9" t="inlineStr">
        <is>
          <t>SUP-03</t>
        </is>
      </c>
      <c r="E14" s="9" t="inlineStr">
        <is>
          <t>Low</t>
        </is>
      </c>
      <c r="F14" s="10" t="n">
        <v>74</v>
      </c>
      <c r="G14" s="10">
        <f>'Reorder Points'!S14</f>
        <v/>
      </c>
      <c r="H14" s="10" t="n">
        <v>0</v>
      </c>
      <c r="I14" s="9" t="inlineStr">
        <is>
          <t>No order needed</t>
        </is>
      </c>
      <c r="J14" s="11" t="n">
        <v>2.42</v>
      </c>
      <c r="K14" s="11">
        <f>H14*J14</f>
        <v/>
      </c>
      <c r="L14" s="9" t="inlineStr">
        <is>
          <t>nan</t>
        </is>
      </c>
      <c r="M14" s="9" t="inlineStr">
        <is>
          <t>Inventory position 61 is above the reorder point 32.6; no order is needed at this review.</t>
        </is>
      </c>
    </row>
    <row r="15">
      <c r="A15" s="9" t="inlineStr">
        <is>
          <t>SYN_FOODS_3_003_CA_1</t>
        </is>
      </c>
      <c r="B15" s="9" t="inlineStr">
        <is>
          <t>SYN_FOODS_3_003</t>
        </is>
      </c>
      <c r="C15" s="9" t="inlineStr">
        <is>
          <t>CA_1</t>
        </is>
      </c>
      <c r="D15" s="9" t="inlineStr">
        <is>
          <t>SUP-03</t>
        </is>
      </c>
      <c r="E15" s="9" t="inlineStr">
        <is>
          <t>Low</t>
        </is>
      </c>
      <c r="F15" s="10" t="n">
        <v>69</v>
      </c>
      <c r="G15" s="10">
        <f>'Reorder Points'!S15</f>
        <v/>
      </c>
      <c r="H15" s="10" t="n">
        <v>0</v>
      </c>
      <c r="I15" s="9" t="inlineStr">
        <is>
          <t>No order needed</t>
        </is>
      </c>
      <c r="J15" s="11" t="n">
        <v>1.27</v>
      </c>
      <c r="K15" s="11">
        <f>H15*J15</f>
        <v/>
      </c>
      <c r="L15" s="9" t="inlineStr">
        <is>
          <t>nan</t>
        </is>
      </c>
      <c r="M15" s="9" t="inlineStr">
        <is>
          <t>Inventory position 284 is above the reorder point 139.6; no order is needed at this review.</t>
        </is>
      </c>
    </row>
    <row r="16">
      <c r="A16" s="9" t="inlineStr">
        <is>
          <t>SYN_FOODS_3_004_CA_1</t>
        </is>
      </c>
      <c r="B16" s="9" t="inlineStr">
        <is>
          <t>SYN_FOODS_3_004</t>
        </is>
      </c>
      <c r="C16" s="9" t="inlineStr">
        <is>
          <t>CA_1</t>
        </is>
      </c>
      <c r="D16" s="9" t="inlineStr">
        <is>
          <t>SUP-03</t>
        </is>
      </c>
      <c r="E16" s="9" t="inlineStr">
        <is>
          <t>Low</t>
        </is>
      </c>
      <c r="F16" s="10" t="n">
        <v>71</v>
      </c>
      <c r="G16" s="10">
        <f>'Reorder Points'!S16</f>
        <v/>
      </c>
      <c r="H16" s="10" t="n">
        <v>0</v>
      </c>
      <c r="I16" s="9" t="inlineStr">
        <is>
          <t>No order needed</t>
        </is>
      </c>
      <c r="J16" s="11" t="n">
        <v>0.96</v>
      </c>
      <c r="K16" s="11">
        <f>H16*J16</f>
        <v/>
      </c>
      <c r="L16" s="9" t="inlineStr">
        <is>
          <t>nan</t>
        </is>
      </c>
      <c r="M16" s="9" t="inlineStr">
        <is>
          <t>Inventory position 276 is above the reorder point 143.9; no order is needed at this review.</t>
        </is>
      </c>
    </row>
    <row r="17">
      <c r="A17" s="9" t="inlineStr">
        <is>
          <t>SYN_FOODS_3_005_CA_1</t>
        </is>
      </c>
      <c r="B17" s="9" t="inlineStr">
        <is>
          <t>SYN_FOODS_3_005</t>
        </is>
      </c>
      <c r="C17" s="9" t="inlineStr">
        <is>
          <t>CA_1</t>
        </is>
      </c>
      <c r="D17" s="9" t="inlineStr">
        <is>
          <t>SUP-03</t>
        </is>
      </c>
      <c r="E17" s="9" t="inlineStr">
        <is>
          <t>Low</t>
        </is>
      </c>
      <c r="F17" s="10" t="n">
        <v>65</v>
      </c>
      <c r="G17" s="10">
        <f>'Reorder Points'!S17</f>
        <v/>
      </c>
      <c r="H17" s="10" t="n">
        <v>0</v>
      </c>
      <c r="I17" s="9" t="inlineStr">
        <is>
          <t>No order needed</t>
        </is>
      </c>
      <c r="J17" s="11" t="n">
        <v>1.76</v>
      </c>
      <c r="K17" s="11">
        <f>H17*J17</f>
        <v/>
      </c>
      <c r="L17" s="9" t="inlineStr">
        <is>
          <t>nan</t>
        </is>
      </c>
      <c r="M17" s="9" t="inlineStr">
        <is>
          <t>Inventory position 319 is above the reorder point 253.7; no order is needed at this review.</t>
        </is>
      </c>
    </row>
    <row r="18">
      <c r="A18" s="9" t="inlineStr">
        <is>
          <t>SYN_FOODS_3_007_CA_1</t>
        </is>
      </c>
      <c r="B18" s="9" t="inlineStr">
        <is>
          <t>SYN_FOODS_3_007</t>
        </is>
      </c>
      <c r="C18" s="9" t="inlineStr">
        <is>
          <t>CA_1</t>
        </is>
      </c>
      <c r="D18" s="9" t="inlineStr">
        <is>
          <t>SUP-03</t>
        </is>
      </c>
      <c r="E18" s="9" t="inlineStr">
        <is>
          <t>Low</t>
        </is>
      </c>
      <c r="F18" s="10" t="n">
        <v>67</v>
      </c>
      <c r="G18" s="10">
        <f>'Reorder Points'!S18</f>
        <v/>
      </c>
      <c r="H18" s="10" t="n">
        <v>0</v>
      </c>
      <c r="I18" s="9" t="inlineStr">
        <is>
          <t>No order needed</t>
        </is>
      </c>
      <c r="J18" s="11" t="n">
        <v>1.99</v>
      </c>
      <c r="K18" s="11">
        <f>H18*J18</f>
        <v/>
      </c>
      <c r="L18" s="9" t="inlineStr">
        <is>
          <t>nan</t>
        </is>
      </c>
      <c r="M18" s="9" t="inlineStr">
        <is>
          <t>Inventory position 194 is above the reorder point 96.4; no order is needed at this review.</t>
        </is>
      </c>
    </row>
    <row r="19">
      <c r="A19" s="9" t="inlineStr">
        <is>
          <t>SYN_FOODS_3_008_CA_1</t>
        </is>
      </c>
      <c r="B19" s="9" t="inlineStr">
        <is>
          <t>SYN_FOODS_3_008</t>
        </is>
      </c>
      <c r="C19" s="9" t="inlineStr">
        <is>
          <t>CA_1</t>
        </is>
      </c>
      <c r="D19" s="9" t="inlineStr">
        <is>
          <t>SUP-03</t>
        </is>
      </c>
      <c r="E19" s="9" t="inlineStr">
        <is>
          <t>Medium</t>
        </is>
      </c>
      <c r="F19" s="10" t="n">
        <v>29</v>
      </c>
      <c r="G19" s="10">
        <f>'Reorder Points'!S19</f>
        <v/>
      </c>
      <c r="H19" s="10" t="n">
        <v>22</v>
      </c>
      <c r="I19" s="9" t="inlineStr">
        <is>
          <t>Order</t>
        </is>
      </c>
      <c r="J19" s="11" t="n">
        <v>2.92</v>
      </c>
      <c r="K19" s="11">
        <f>H19*J19</f>
        <v/>
      </c>
      <c r="L19" s="9" t="inlineStr">
        <is>
          <t>2026-04-30</t>
        </is>
      </c>
      <c r="M19" s="9" t="inlineStr">
        <is>
          <t>Inventory position 8 is at or below the reorder point 13.0. Ordering up to 29.5 needs 21.5 units = 22 units.</t>
        </is>
      </c>
    </row>
    <row r="20">
      <c r="A20" s="9" t="inlineStr">
        <is>
          <t>SYN_FOODS_3_009_CA_1</t>
        </is>
      </c>
      <c r="B20" s="9" t="inlineStr">
        <is>
          <t>SYN_FOODS_3_009</t>
        </is>
      </c>
      <c r="C20" s="9" t="inlineStr">
        <is>
          <t>CA_1</t>
        </is>
      </c>
      <c r="D20" s="9" t="inlineStr">
        <is>
          <t>SUP-03</t>
        </is>
      </c>
      <c r="E20" s="9" t="inlineStr">
        <is>
          <t>Medium</t>
        </is>
      </c>
      <c r="F20" s="10" t="n">
        <v>31</v>
      </c>
      <c r="G20" s="10">
        <f>'Reorder Points'!S20</f>
        <v/>
      </c>
      <c r="H20" s="10" t="n">
        <v>276</v>
      </c>
      <c r="I20" s="9" t="inlineStr">
        <is>
          <t>Order</t>
        </is>
      </c>
      <c r="J20" s="11" t="n">
        <v>5.33</v>
      </c>
      <c r="K20" s="11">
        <f>H20*J20</f>
        <v/>
      </c>
      <c r="L20" s="9" t="inlineStr">
        <is>
          <t>2026-04-30</t>
        </is>
      </c>
      <c r="M20" s="9" t="inlineStr">
        <is>
          <t>Inventory position 139 is at or below the reorder point 215.2. Ordering up to 414.3 needs 275.3 units = 276 units.</t>
        </is>
      </c>
    </row>
    <row r="21">
      <c r="A21" s="9" t="inlineStr">
        <is>
          <t>SYN_HOBBIES_1_001_CA_1</t>
        </is>
      </c>
      <c r="B21" s="9" t="inlineStr">
        <is>
          <t>SYN_HOBBIES_1_001</t>
        </is>
      </c>
      <c r="C21" s="9" t="inlineStr">
        <is>
          <t>CA_1</t>
        </is>
      </c>
      <c r="D21" s="9" t="inlineStr">
        <is>
          <t>SUP-04</t>
        </is>
      </c>
      <c r="E21" s="9" t="inlineStr">
        <is>
          <t>Medium</t>
        </is>
      </c>
      <c r="F21" s="10" t="n">
        <v>7</v>
      </c>
      <c r="G21" s="10">
        <f>'Reorder Points'!S21</f>
        <v/>
      </c>
      <c r="H21" s="10" t="n">
        <v>204</v>
      </c>
      <c r="I21" s="9" t="inlineStr">
        <is>
          <t>Order</t>
        </is>
      </c>
      <c r="J21" s="11" t="n">
        <v>5.49</v>
      </c>
      <c r="K21" s="11">
        <f>H21*J21</f>
        <v/>
      </c>
      <c r="L21" s="9" t="inlineStr">
        <is>
          <t>2026-05-11</t>
        </is>
      </c>
      <c r="M21" s="9" t="inlineStr">
        <is>
          <t>Inventory position 76 is at or below the reorder point 144.9. Ordering up to 279.0 needs 203.0 units, rounded up to whole cases of 6 = 204 units.</t>
        </is>
      </c>
    </row>
    <row r="22">
      <c r="A22" s="9" t="inlineStr">
        <is>
          <t>SYN_HOBBIES_1_003_CA_1</t>
        </is>
      </c>
      <c r="B22" s="9" t="inlineStr">
        <is>
          <t>SYN_HOBBIES_1_003</t>
        </is>
      </c>
      <c r="C22" s="9" t="inlineStr">
        <is>
          <t>CA_1</t>
        </is>
      </c>
      <c r="D22" s="9" t="inlineStr">
        <is>
          <t>SUP-04</t>
        </is>
      </c>
      <c r="E22" s="9" t="inlineStr">
        <is>
          <t>Medium</t>
        </is>
      </c>
      <c r="F22" s="10" t="n">
        <v>15</v>
      </c>
      <c r="G22" s="10">
        <f>'Reorder Points'!S22</f>
        <v/>
      </c>
      <c r="H22" s="10" t="n">
        <v>36</v>
      </c>
      <c r="I22" s="9" t="inlineStr">
        <is>
          <t>Order</t>
        </is>
      </c>
      <c r="J22" s="11" t="n">
        <v>10.92</v>
      </c>
      <c r="K22" s="11">
        <f>H22*J22</f>
        <v/>
      </c>
      <c r="L22" s="9" t="inlineStr">
        <is>
          <t>2026-05-11</t>
        </is>
      </c>
      <c r="M22" s="9" t="inlineStr">
        <is>
          <t>Inventory position 29 is at or below the reorder point 37.1. Ordering up to 61.1 needs 32.1 units, rounded up to whole cases of 4 = 36 units.</t>
        </is>
      </c>
    </row>
    <row r="23">
      <c r="A23" s="9" t="inlineStr">
        <is>
          <t>SYN_HOBBIES_1_004_CA_1</t>
        </is>
      </c>
      <c r="B23" s="9" t="inlineStr">
        <is>
          <t>SYN_HOBBIES_1_004</t>
        </is>
      </c>
      <c r="C23" s="9" t="inlineStr">
        <is>
          <t>CA_1</t>
        </is>
      </c>
      <c r="D23" s="9" t="inlineStr">
        <is>
          <t>SUP-04</t>
        </is>
      </c>
      <c r="E23" s="9" t="inlineStr">
        <is>
          <t>Low</t>
        </is>
      </c>
      <c r="F23" s="10" t="n">
        <v>47</v>
      </c>
      <c r="G23" s="10">
        <f>'Reorder Points'!S23</f>
        <v/>
      </c>
      <c r="H23" s="10" t="n">
        <v>0</v>
      </c>
      <c r="I23" s="9" t="inlineStr">
        <is>
          <t>No order needed</t>
        </is>
      </c>
      <c r="J23" s="11" t="n">
        <v>6.15</v>
      </c>
      <c r="K23" s="11">
        <f>H23*J23</f>
        <v/>
      </c>
      <c r="L23" s="9" t="inlineStr">
        <is>
          <t>nan</t>
        </is>
      </c>
      <c r="M23" s="9" t="inlineStr">
        <is>
          <t>Inventory position 24 is above the reorder point 18.3; no order is needed at this review.</t>
        </is>
      </c>
    </row>
    <row r="24">
      <c r="A24" s="9" t="inlineStr">
        <is>
          <t>SYN_HOBBIES_1_005_CA_1</t>
        </is>
      </c>
      <c r="B24" s="9" t="inlineStr">
        <is>
          <t>SYN_HOBBIES_1_005</t>
        </is>
      </c>
      <c r="C24" s="9" t="inlineStr">
        <is>
          <t>CA_1</t>
        </is>
      </c>
      <c r="D24" s="9" t="inlineStr">
        <is>
          <t>SUP-04</t>
        </is>
      </c>
      <c r="E24" s="9" t="inlineStr">
        <is>
          <t>Low</t>
        </is>
      </c>
      <c r="F24" s="10" t="n">
        <v>37</v>
      </c>
      <c r="G24" s="10">
        <f>'Reorder Points'!S24</f>
        <v/>
      </c>
      <c r="H24" s="10" t="n">
        <v>0</v>
      </c>
      <c r="I24" s="9" t="inlineStr">
        <is>
          <t>No order needed</t>
        </is>
      </c>
      <c r="J24" s="11" t="n">
        <v>6.44</v>
      </c>
      <c r="K24" s="11">
        <f>H24*J24</f>
        <v/>
      </c>
      <c r="L24" s="9" t="inlineStr">
        <is>
          <t>nan</t>
        </is>
      </c>
      <c r="M24" s="9" t="inlineStr">
        <is>
          <t>Inventory position 16 is above the reorder point 15.0; no order is needed at this review.</t>
        </is>
      </c>
    </row>
    <row r="25">
      <c r="A25" s="9" t="inlineStr">
        <is>
          <t>SYN_HOBBIES_1_006_CA_1</t>
        </is>
      </c>
      <c r="B25" s="9" t="inlineStr">
        <is>
          <t>SYN_HOBBIES_1_006</t>
        </is>
      </c>
      <c r="C25" s="9" t="inlineStr">
        <is>
          <t>CA_1</t>
        </is>
      </c>
      <c r="D25" s="9" t="inlineStr">
        <is>
          <t>SUP-04</t>
        </is>
      </c>
      <c r="E25" s="9" t="inlineStr">
        <is>
          <t>Medium</t>
        </is>
      </c>
      <c r="F25" s="10" t="n">
        <v>13</v>
      </c>
      <c r="G25" s="10">
        <f>'Reorder Points'!S25</f>
        <v/>
      </c>
      <c r="H25" s="10" t="n">
        <v>42</v>
      </c>
      <c r="I25" s="9" t="inlineStr">
        <is>
          <t>Order</t>
        </is>
      </c>
      <c r="J25" s="11" t="n">
        <v>8.199999999999999</v>
      </c>
      <c r="K25" s="11">
        <f>H25*J25</f>
        <v/>
      </c>
      <c r="L25" s="9" t="inlineStr">
        <is>
          <t>2026-05-11</t>
        </is>
      </c>
      <c r="M25" s="9" t="inlineStr">
        <is>
          <t>Inventory position 27 is at or below the reorder point 49.0. Ordering up to 69.0 needs 42.0 units = 42 units.</t>
        </is>
      </c>
    </row>
    <row r="26">
      <c r="A26" s="9" t="inlineStr">
        <is>
          <t>SYN_HOBBIES_1_007_CA_1</t>
        </is>
      </c>
      <c r="B26" s="9" t="inlineStr">
        <is>
          <t>SYN_HOBBIES_1_007</t>
        </is>
      </c>
      <c r="C26" s="9" t="inlineStr">
        <is>
          <t>CA_1</t>
        </is>
      </c>
      <c r="D26" s="9" t="inlineStr">
        <is>
          <t>SUP-04</t>
        </is>
      </c>
      <c r="E26" s="9" t="inlineStr">
        <is>
          <t>Low</t>
        </is>
      </c>
      <c r="F26" s="10" t="n">
        <v>38</v>
      </c>
      <c r="G26" s="10">
        <f>'Reorder Points'!S26</f>
        <v/>
      </c>
      <c r="H26" s="10" t="n">
        <v>0</v>
      </c>
      <c r="I26" s="9" t="inlineStr">
        <is>
          <t>No order needed</t>
        </is>
      </c>
      <c r="J26" s="11" t="n">
        <v>2.96</v>
      </c>
      <c r="K26" s="11">
        <f>H26*J26</f>
        <v/>
      </c>
      <c r="L26" s="9" t="inlineStr">
        <is>
          <t>nan</t>
        </is>
      </c>
      <c r="M26" s="9" t="inlineStr">
        <is>
          <t>Inventory position 36 is above the reorder point 31.6; no order is needed at this review.</t>
        </is>
      </c>
    </row>
    <row r="27">
      <c r="A27" s="9" t="inlineStr">
        <is>
          <t>SYN_HOBBIES_1_009_CA_1</t>
        </is>
      </c>
      <c r="B27" s="9" t="inlineStr">
        <is>
          <t>SYN_HOBBIES_1_009</t>
        </is>
      </c>
      <c r="C27" s="9" t="inlineStr">
        <is>
          <t>CA_1</t>
        </is>
      </c>
      <c r="D27" s="9" t="inlineStr">
        <is>
          <t>SUP-04</t>
        </is>
      </c>
      <c r="E27" s="9" t="inlineStr">
        <is>
          <t>Low</t>
        </is>
      </c>
      <c r="F27" s="10" t="n">
        <v>41</v>
      </c>
      <c r="G27" s="10">
        <f>'Reorder Points'!S27</f>
        <v/>
      </c>
      <c r="H27" s="10" t="n">
        <v>0</v>
      </c>
      <c r="I27" s="9" t="inlineStr">
        <is>
          <t>No order needed</t>
        </is>
      </c>
      <c r="J27" s="11" t="n">
        <v>6.38</v>
      </c>
      <c r="K27" s="11">
        <f>H27*J27</f>
        <v/>
      </c>
      <c r="L27" s="9" t="inlineStr">
        <is>
          <t>nan</t>
        </is>
      </c>
      <c r="M27" s="9" t="inlineStr">
        <is>
          <t>Inventory position 353 is above the reorder point 333.2; no order is needed at this review.</t>
        </is>
      </c>
    </row>
    <row r="28">
      <c r="A28" s="9" t="inlineStr">
        <is>
          <t>SYN_HOBBIES_2_001_CA_1</t>
        </is>
      </c>
      <c r="B28" s="9" t="inlineStr">
        <is>
          <t>SYN_HOBBIES_2_001</t>
        </is>
      </c>
      <c r="C28" s="9" t="inlineStr">
        <is>
          <t>CA_1</t>
        </is>
      </c>
      <c r="D28" s="9" t="inlineStr">
        <is>
          <t>SUP-04</t>
        </is>
      </c>
      <c r="E28" s="9" t="inlineStr">
        <is>
          <t>Low</t>
        </is>
      </c>
      <c r="F28" s="10" t="n">
        <v>39</v>
      </c>
      <c r="G28" s="10">
        <f>'Reorder Points'!S28</f>
        <v/>
      </c>
      <c r="H28" s="10" t="n">
        <v>0</v>
      </c>
      <c r="I28" s="9" t="inlineStr">
        <is>
          <t>No order needed</t>
        </is>
      </c>
      <c r="J28" s="11" t="n">
        <v>8.15</v>
      </c>
      <c r="K28" s="11">
        <f>H28*J28</f>
        <v/>
      </c>
      <c r="L28" s="9" t="inlineStr">
        <is>
          <t>nan</t>
        </is>
      </c>
      <c r="M28" s="9" t="inlineStr">
        <is>
          <t>Inventory position 108 is above the reorder point 95.8; no order is needed at this review.</t>
        </is>
      </c>
    </row>
    <row r="29">
      <c r="A29" s="9" t="inlineStr">
        <is>
          <t>SYN_HOBBIES_2_002_CA_1</t>
        </is>
      </c>
      <c r="B29" s="9" t="inlineStr">
        <is>
          <t>SYN_HOBBIES_2_002</t>
        </is>
      </c>
      <c r="C29" s="9" t="inlineStr">
        <is>
          <t>CA_1</t>
        </is>
      </c>
      <c r="D29" s="9" t="inlineStr">
        <is>
          <t>SUP-04</t>
        </is>
      </c>
      <c r="E29" s="9" t="inlineStr">
        <is>
          <t>Medium</t>
        </is>
      </c>
      <c r="F29" s="10" t="n">
        <v>12</v>
      </c>
      <c r="G29" s="10">
        <f>'Reorder Points'!S29</f>
        <v/>
      </c>
      <c r="H29" s="10" t="n">
        <v>24</v>
      </c>
      <c r="I29" s="9" t="inlineStr">
        <is>
          <t>Order</t>
        </is>
      </c>
      <c r="J29" s="11" t="n">
        <v>8.380000000000001</v>
      </c>
      <c r="K29" s="11">
        <f>H29*J29</f>
        <v/>
      </c>
      <c r="L29" s="9" t="inlineStr">
        <is>
          <t>2026-05-11</t>
        </is>
      </c>
      <c r="M29" s="9" t="inlineStr">
        <is>
          <t>Inventory position 13 is at or below the reorder point 20.1. Ordering up to 35.6 needs 22.6 units, rounded up to whole cases of 2 = 24 units.</t>
        </is>
      </c>
    </row>
    <row r="30">
      <c r="A30" s="9" t="inlineStr">
        <is>
          <t>SYN_HOBBIES_2_004_CA_1</t>
        </is>
      </c>
      <c r="B30" s="9" t="inlineStr">
        <is>
          <t>SYN_HOBBIES_2_004</t>
        </is>
      </c>
      <c r="C30" s="9" t="inlineStr">
        <is>
          <t>CA_1</t>
        </is>
      </c>
      <c r="D30" s="9" t="inlineStr">
        <is>
          <t>SUP-04</t>
        </is>
      </c>
      <c r="E30" s="9" t="inlineStr">
        <is>
          <t>Low</t>
        </is>
      </c>
      <c r="F30" s="10" t="n">
        <v>49</v>
      </c>
      <c r="G30" s="10">
        <f>'Reorder Points'!S30</f>
        <v/>
      </c>
      <c r="H30" s="10" t="n">
        <v>0</v>
      </c>
      <c r="I30" s="9" t="inlineStr">
        <is>
          <t>No order needed</t>
        </is>
      </c>
      <c r="J30" s="11" t="n">
        <v>2.49</v>
      </c>
      <c r="K30" s="11">
        <f>H30*J30</f>
        <v/>
      </c>
      <c r="L30" s="9" t="inlineStr">
        <is>
          <t>nan</t>
        </is>
      </c>
      <c r="M30" s="9" t="inlineStr">
        <is>
          <t>Inventory position 1120 is above the reorder point 893.7; no order is needed at this review.</t>
        </is>
      </c>
    </row>
    <row r="31">
      <c r="A31" s="9" t="inlineStr">
        <is>
          <t>SYN_HOBBIES_2_005_CA_1</t>
        </is>
      </c>
      <c r="B31" s="9" t="inlineStr">
        <is>
          <t>SYN_HOBBIES_2_005</t>
        </is>
      </c>
      <c r="C31" s="9" t="inlineStr">
        <is>
          <t>CA_1</t>
        </is>
      </c>
      <c r="D31" s="9" t="inlineStr">
        <is>
          <t>SUP-04</t>
        </is>
      </c>
      <c r="E31" s="9" t="inlineStr">
        <is>
          <t>Low</t>
        </is>
      </c>
      <c r="F31" s="10" t="n">
        <v>50</v>
      </c>
      <c r="G31" s="10">
        <f>'Reorder Points'!S31</f>
        <v/>
      </c>
      <c r="H31" s="10" t="n">
        <v>0</v>
      </c>
      <c r="I31" s="9" t="inlineStr">
        <is>
          <t>No order needed</t>
        </is>
      </c>
      <c r="J31" s="11" t="n">
        <v>4.5</v>
      </c>
      <c r="K31" s="11">
        <f>H31*J31</f>
        <v/>
      </c>
      <c r="L31" s="9" t="inlineStr">
        <is>
          <t>nan</t>
        </is>
      </c>
      <c r="M31" s="9" t="inlineStr">
        <is>
          <t>Inventory position 902 is above the reorder point 718.4; no order is needed at this review.</t>
        </is>
      </c>
    </row>
    <row r="32">
      <c r="A32" s="9" t="inlineStr">
        <is>
          <t>SYN_HOBBIES_2_006_CA_1</t>
        </is>
      </c>
      <c r="B32" s="9" t="inlineStr">
        <is>
          <t>SYN_HOBBIES_2_006</t>
        </is>
      </c>
      <c r="C32" s="9" t="inlineStr">
        <is>
          <t>CA_1</t>
        </is>
      </c>
      <c r="D32" s="9" t="inlineStr">
        <is>
          <t>SUP-04</t>
        </is>
      </c>
      <c r="E32" s="9" t="inlineStr">
        <is>
          <t>Low</t>
        </is>
      </c>
      <c r="F32" s="10" t="n">
        <v>45</v>
      </c>
      <c r="G32" s="10">
        <f>'Reorder Points'!S32</f>
        <v/>
      </c>
      <c r="H32" s="10" t="n">
        <v>0</v>
      </c>
      <c r="I32" s="9" t="inlineStr">
        <is>
          <t>No order needed</t>
        </is>
      </c>
      <c r="J32" s="11" t="n">
        <v>7.81</v>
      </c>
      <c r="K32" s="11">
        <f>H32*J32</f>
        <v/>
      </c>
      <c r="L32" s="9" t="inlineStr">
        <is>
          <t>nan</t>
        </is>
      </c>
      <c r="M32" s="9" t="inlineStr">
        <is>
          <t>Inventory position 894 is above the reorder point 809.3; no order is needed at this review.</t>
        </is>
      </c>
    </row>
    <row r="33">
      <c r="A33" s="9" t="inlineStr">
        <is>
          <t>SYN_HOBBIES_2_007_CA_1</t>
        </is>
      </c>
      <c r="B33" s="9" t="inlineStr">
        <is>
          <t>SYN_HOBBIES_2_007</t>
        </is>
      </c>
      <c r="C33" s="9" t="inlineStr">
        <is>
          <t>CA_1</t>
        </is>
      </c>
      <c r="D33" s="9" t="inlineStr">
        <is>
          <t>SUP-04</t>
        </is>
      </c>
      <c r="E33" s="9" t="inlineStr">
        <is>
          <t>High</t>
        </is>
      </c>
      <c r="F33" s="10" t="n">
        <v>3</v>
      </c>
      <c r="G33" s="10">
        <f>'Reorder Points'!S33</f>
        <v/>
      </c>
      <c r="H33" s="10" t="n">
        <v>70</v>
      </c>
      <c r="I33" s="9" t="inlineStr">
        <is>
          <t>Order</t>
        </is>
      </c>
      <c r="J33" s="11" t="n">
        <v>2.07</v>
      </c>
      <c r="K33" s="11">
        <f>H33*J33</f>
        <v/>
      </c>
      <c r="L33" s="9" t="inlineStr">
        <is>
          <t>2026-05-11</t>
        </is>
      </c>
      <c r="M33" s="9" t="inlineStr">
        <is>
          <t>Inventory position 13 is at or below the reorder point 41.7. Ordering up to 81.2 needs 68.2 units, rounded up to whole cases of 2 = 70 units.</t>
        </is>
      </c>
    </row>
    <row r="34">
      <c r="A34" s="9" t="inlineStr">
        <is>
          <t>SYN_HOBBIES_2_009_CA_1</t>
        </is>
      </c>
      <c r="B34" s="9" t="inlineStr">
        <is>
          <t>SYN_HOBBIES_2_009</t>
        </is>
      </c>
      <c r="C34" s="9" t="inlineStr">
        <is>
          <t>CA_1</t>
        </is>
      </c>
      <c r="D34" s="9" t="inlineStr">
        <is>
          <t>SUP-04</t>
        </is>
      </c>
      <c r="E34" s="9" t="inlineStr">
        <is>
          <t>Medium</t>
        </is>
      </c>
      <c r="F34" s="10" t="n">
        <v>20</v>
      </c>
      <c r="G34" s="10">
        <f>'Reorder Points'!S34</f>
        <v/>
      </c>
      <c r="H34" s="10" t="n">
        <v>156</v>
      </c>
      <c r="I34" s="9" t="inlineStr">
        <is>
          <t>Order</t>
        </is>
      </c>
      <c r="J34" s="11" t="n">
        <v>8.869999999999999</v>
      </c>
      <c r="K34" s="11">
        <f>H34*J34</f>
        <v/>
      </c>
      <c r="L34" s="9" t="inlineStr">
        <is>
          <t>2026-05-11</t>
        </is>
      </c>
      <c r="M34" s="9" t="inlineStr">
        <is>
          <t>Inventory position 133 is at or below the reorder point 152.4. Ordering up to 279.0 needs 146.0 units, rounded up to whole cases of 12 = 156 units.</t>
        </is>
      </c>
    </row>
    <row r="35">
      <c r="A35" s="9" t="inlineStr">
        <is>
          <t>SYN_HOUSEHOLD_1_001_CA_1</t>
        </is>
      </c>
      <c r="B35" s="9" t="inlineStr">
        <is>
          <t>SYN_HOUSEHOLD_1_001</t>
        </is>
      </c>
      <c r="C35" s="9" t="inlineStr">
        <is>
          <t>CA_1</t>
        </is>
      </c>
      <c r="D35" s="9" t="inlineStr">
        <is>
          <t>SUP-05</t>
        </is>
      </c>
      <c r="E35" s="9" t="inlineStr">
        <is>
          <t>Low</t>
        </is>
      </c>
      <c r="F35" s="10" t="n">
        <v>46</v>
      </c>
      <c r="G35" s="10">
        <f>'Reorder Points'!S35</f>
        <v/>
      </c>
      <c r="H35" s="10" t="n">
        <v>0</v>
      </c>
      <c r="I35" s="9" t="inlineStr">
        <is>
          <t>No order needed</t>
        </is>
      </c>
      <c r="J35" s="11" t="n">
        <v>1.21</v>
      </c>
      <c r="K35" s="11">
        <f>H35*J35</f>
        <v/>
      </c>
      <c r="L35" s="9" t="inlineStr">
        <is>
          <t>nan</t>
        </is>
      </c>
      <c r="M35" s="9" t="inlineStr">
        <is>
          <t>Inventory position 14 is above the reorder point 11.5; no order is needed at this review.</t>
        </is>
      </c>
    </row>
    <row r="36">
      <c r="A36" s="9" t="inlineStr">
        <is>
          <t>SYN_HOUSEHOLD_1_007_CA_1</t>
        </is>
      </c>
      <c r="B36" s="9" t="inlineStr">
        <is>
          <t>SYN_HOUSEHOLD_1_007</t>
        </is>
      </c>
      <c r="C36" s="9" t="inlineStr">
        <is>
          <t>CA_1</t>
        </is>
      </c>
      <c r="D36" s="9" t="inlineStr">
        <is>
          <t>SUP-05</t>
        </is>
      </c>
      <c r="E36" s="9" t="inlineStr">
        <is>
          <t>High</t>
        </is>
      </c>
      <c r="F36" s="10" t="n">
        <v>6</v>
      </c>
      <c r="G36" s="10">
        <f>'Reorder Points'!S36</f>
        <v/>
      </c>
      <c r="H36" s="10" t="n">
        <v>324</v>
      </c>
      <c r="I36" s="9" t="inlineStr">
        <is>
          <t>Order</t>
        </is>
      </c>
      <c r="J36" s="11" t="n">
        <v>2.65</v>
      </c>
      <c r="K36" s="11">
        <f>H36*J36</f>
        <v/>
      </c>
      <c r="L36" s="9" t="inlineStr">
        <is>
          <t>2026-05-04</t>
        </is>
      </c>
      <c r="M36" s="9" t="inlineStr">
        <is>
          <t>Inventory position 192 is at or below the reorder point 214.2. Ordering up to 507.7 needs 315.7 units, rounded up to whole cases of 12 = 324 units.</t>
        </is>
      </c>
    </row>
    <row r="37">
      <c r="A37" s="9" t="inlineStr">
        <is>
          <t>SYN_HOUSEHOLD_1_008_CA_1</t>
        </is>
      </c>
      <c r="B37" s="9" t="inlineStr">
        <is>
          <t>SYN_HOUSEHOLD_1_008</t>
        </is>
      </c>
      <c r="C37" s="9" t="inlineStr">
        <is>
          <t>CA_1</t>
        </is>
      </c>
      <c r="D37" s="9" t="inlineStr">
        <is>
          <t>SUP-05</t>
        </is>
      </c>
      <c r="E37" s="9" t="inlineStr">
        <is>
          <t>Medium</t>
        </is>
      </c>
      <c r="F37" s="10" t="n">
        <v>26</v>
      </c>
      <c r="G37" s="10">
        <f>'Reorder Points'!S37</f>
        <v/>
      </c>
      <c r="H37" s="10" t="n">
        <v>48</v>
      </c>
      <c r="I37" s="9" t="inlineStr">
        <is>
          <t>Reduced: supplier capacity</t>
        </is>
      </c>
      <c r="J37" s="11" t="n">
        <v>2.17</v>
      </c>
      <c r="K37" s="11">
        <f>H37*J37</f>
        <v/>
      </c>
      <c r="L37" s="9" t="inlineStr">
        <is>
          <t>2026-05-04</t>
        </is>
      </c>
      <c r="M37" s="9" t="inlineStr">
        <is>
          <t>Inventory position 43 is at or below the reorder point 55.5. Ordering up to 136.6 needs 93.6 units, rounded up to whole cases of 12 = 96 units. Reduced by supplier capacity: SUP-05 had 54 of 834 units left for this review after higher-priority lines, so 48 units are funded.</t>
        </is>
      </c>
    </row>
    <row r="38">
      <c r="A38" s="9" t="inlineStr">
        <is>
          <t>SYN_HOUSEHOLD_1_009_CA_1</t>
        </is>
      </c>
      <c r="B38" s="9" t="inlineStr">
        <is>
          <t>SYN_HOUSEHOLD_1_009</t>
        </is>
      </c>
      <c r="C38" s="9" t="inlineStr">
        <is>
          <t>CA_1</t>
        </is>
      </c>
      <c r="D38" s="9" t="inlineStr">
        <is>
          <t>SUP-05</t>
        </is>
      </c>
      <c r="E38" s="9" t="inlineStr">
        <is>
          <t>Low</t>
        </is>
      </c>
      <c r="F38" s="10" t="n">
        <v>56</v>
      </c>
      <c r="G38" s="10">
        <f>'Reorder Points'!S38</f>
        <v/>
      </c>
      <c r="H38" s="10" t="n">
        <v>0</v>
      </c>
      <c r="I38" s="9" t="inlineStr">
        <is>
          <t>No order needed</t>
        </is>
      </c>
      <c r="J38" s="11" t="n">
        <v>11.99</v>
      </c>
      <c r="K38" s="11">
        <f>H38*J38</f>
        <v/>
      </c>
      <c r="L38" s="9" t="inlineStr">
        <is>
          <t>nan</t>
        </is>
      </c>
      <c r="M38" s="9" t="inlineStr">
        <is>
          <t>Inventory position 396 is above the reorder point 238.4; no order is needed at this review.</t>
        </is>
      </c>
    </row>
    <row r="39">
      <c r="A39" s="9" t="inlineStr">
        <is>
          <t>SYN_HOUSEHOLD_2_001_CA_1</t>
        </is>
      </c>
      <c r="B39" s="9" t="inlineStr">
        <is>
          <t>SYN_HOUSEHOLD_2_001</t>
        </is>
      </c>
      <c r="C39" s="9" t="inlineStr">
        <is>
          <t>CA_1</t>
        </is>
      </c>
      <c r="D39" s="9" t="inlineStr">
        <is>
          <t>SUP-06</t>
        </is>
      </c>
      <c r="E39" s="9" t="inlineStr">
        <is>
          <t>Low</t>
        </is>
      </c>
      <c r="F39" s="10" t="n">
        <v>40</v>
      </c>
      <c r="G39" s="10">
        <f>'Reorder Points'!S39</f>
        <v/>
      </c>
      <c r="H39" s="10" t="n">
        <v>0</v>
      </c>
      <c r="I39" s="9" t="inlineStr">
        <is>
          <t>No order needed</t>
        </is>
      </c>
      <c r="J39" s="11" t="n">
        <v>9.81</v>
      </c>
      <c r="K39" s="11">
        <f>H39*J39</f>
        <v/>
      </c>
      <c r="L39" s="9" t="inlineStr">
        <is>
          <t>nan</t>
        </is>
      </c>
      <c r="M39" s="9" t="inlineStr">
        <is>
          <t>Inventory position 509 is above the reorder point 504.9; no order is needed at this review.</t>
        </is>
      </c>
    </row>
    <row r="40">
      <c r="A40" s="9" t="inlineStr">
        <is>
          <t>SYN_HOUSEHOLD_2_003_CA_1</t>
        </is>
      </c>
      <c r="B40" s="9" t="inlineStr">
        <is>
          <t>SYN_HOUSEHOLD_2_003</t>
        </is>
      </c>
      <c r="C40" s="9" t="inlineStr">
        <is>
          <t>CA_1</t>
        </is>
      </c>
      <c r="D40" s="9" t="inlineStr">
        <is>
          <t>SUP-06</t>
        </is>
      </c>
      <c r="E40" s="9" t="inlineStr">
        <is>
          <t>Medium</t>
        </is>
      </c>
      <c r="F40" s="10" t="n">
        <v>14</v>
      </c>
      <c r="G40" s="10">
        <f>'Reorder Points'!S40</f>
        <v/>
      </c>
      <c r="H40" s="10" t="n">
        <v>150</v>
      </c>
      <c r="I40" s="9" t="inlineStr">
        <is>
          <t>Order</t>
        </is>
      </c>
      <c r="J40" s="11" t="n">
        <v>9.94</v>
      </c>
      <c r="K40" s="11">
        <f>H40*J40</f>
        <v/>
      </c>
      <c r="L40" s="9" t="inlineStr">
        <is>
          <t>2026-05-07</t>
        </is>
      </c>
      <c r="M40" s="9" t="inlineStr">
        <is>
          <t>Inventory position 90 is at or below the reorder point 129.7. Ordering up to 238.1 needs 148.1 units, rounded up to whole cases of 6 = 150 units.</t>
        </is>
      </c>
    </row>
    <row r="41">
      <c r="A41" s="9" t="inlineStr">
        <is>
          <t>SYN_HOUSEHOLD_2_004_CA_1</t>
        </is>
      </c>
      <c r="B41" s="9" t="inlineStr">
        <is>
          <t>SYN_HOUSEHOLD_2_004</t>
        </is>
      </c>
      <c r="C41" s="9" t="inlineStr">
        <is>
          <t>CA_1</t>
        </is>
      </c>
      <c r="D41" s="9" t="inlineStr">
        <is>
          <t>SUP-06</t>
        </is>
      </c>
      <c r="E41" s="9" t="inlineStr">
        <is>
          <t>Low</t>
        </is>
      </c>
      <c r="F41" s="10" t="n">
        <v>58</v>
      </c>
      <c r="G41" s="10">
        <f>'Reorder Points'!S41</f>
        <v/>
      </c>
      <c r="H41" s="10" t="n">
        <v>0</v>
      </c>
      <c r="I41" s="9" t="inlineStr">
        <is>
          <t>No order needed</t>
        </is>
      </c>
      <c r="J41" s="11" t="n">
        <v>6.05</v>
      </c>
      <c r="K41" s="11">
        <f>H41*J41</f>
        <v/>
      </c>
      <c r="L41" s="9" t="inlineStr">
        <is>
          <t>nan</t>
        </is>
      </c>
      <c r="M41" s="9" t="inlineStr">
        <is>
          <t>Inventory position 558 is above the reorder point 401.5; no order is needed at this review.</t>
        </is>
      </c>
    </row>
    <row r="42">
      <c r="A42" s="9" t="inlineStr">
        <is>
          <t>SYN_HOUSEHOLD_2_005_CA_1</t>
        </is>
      </c>
      <c r="B42" s="9" t="inlineStr">
        <is>
          <t>SYN_HOUSEHOLD_2_005</t>
        </is>
      </c>
      <c r="C42" s="9" t="inlineStr">
        <is>
          <t>CA_1</t>
        </is>
      </c>
      <c r="D42" s="9" t="inlineStr">
        <is>
          <t>SUP-06</t>
        </is>
      </c>
      <c r="E42" s="9" t="inlineStr">
        <is>
          <t>Low</t>
        </is>
      </c>
      <c r="F42" s="10" t="n">
        <v>44</v>
      </c>
      <c r="G42" s="10">
        <f>'Reorder Points'!S42</f>
        <v/>
      </c>
      <c r="H42" s="10" t="n">
        <v>0</v>
      </c>
      <c r="I42" s="9" t="inlineStr">
        <is>
          <t>No order needed</t>
        </is>
      </c>
      <c r="J42" s="11" t="n">
        <v>12.02</v>
      </c>
      <c r="K42" s="11">
        <f>H42*J42</f>
        <v/>
      </c>
      <c r="L42" s="9" t="inlineStr">
        <is>
          <t>nan</t>
        </is>
      </c>
      <c r="M42" s="9" t="inlineStr">
        <is>
          <t>Inventory position 29 is above the reorder point 26.0; no order is needed at this review.</t>
        </is>
      </c>
    </row>
    <row r="43">
      <c r="A43" s="9" t="inlineStr">
        <is>
          <t>SYN_HOUSEHOLD_2_006_CA_1</t>
        </is>
      </c>
      <c r="B43" s="9" t="inlineStr">
        <is>
          <t>SYN_HOUSEHOLD_2_006</t>
        </is>
      </c>
      <c r="C43" s="9" t="inlineStr">
        <is>
          <t>CA_1</t>
        </is>
      </c>
      <c r="D43" s="9" t="inlineStr">
        <is>
          <t>SUP-06</t>
        </is>
      </c>
      <c r="E43" s="9" t="inlineStr">
        <is>
          <t>Low</t>
        </is>
      </c>
      <c r="F43" s="10" t="n">
        <v>43</v>
      </c>
      <c r="G43" s="10">
        <f>'Reorder Points'!S43</f>
        <v/>
      </c>
      <c r="H43" s="10" t="n">
        <v>0</v>
      </c>
      <c r="I43" s="9" t="inlineStr">
        <is>
          <t>No order needed</t>
        </is>
      </c>
      <c r="J43" s="11" t="n">
        <v>8.199999999999999</v>
      </c>
      <c r="K43" s="11">
        <f>H43*J43</f>
        <v/>
      </c>
      <c r="L43" s="9" t="inlineStr">
        <is>
          <t>nan</t>
        </is>
      </c>
      <c r="M43" s="9" t="inlineStr">
        <is>
          <t>Inventory position 179 is above the reorder point 159.5; no order is needed at this review.</t>
        </is>
      </c>
    </row>
    <row r="44">
      <c r="A44" s="9" t="inlineStr">
        <is>
          <t>SYN_HOUSEHOLD_2_007_CA_1</t>
        </is>
      </c>
      <c r="B44" s="9" t="inlineStr">
        <is>
          <t>SYN_HOUSEHOLD_2_007</t>
        </is>
      </c>
      <c r="C44" s="9" t="inlineStr">
        <is>
          <t>CA_1</t>
        </is>
      </c>
      <c r="D44" s="9" t="inlineStr">
        <is>
          <t>SUP-06</t>
        </is>
      </c>
      <c r="E44" s="9" t="inlineStr">
        <is>
          <t>Medium</t>
        </is>
      </c>
      <c r="F44" s="10" t="n">
        <v>27</v>
      </c>
      <c r="G44" s="10">
        <f>'Reorder Points'!S44</f>
        <v/>
      </c>
      <c r="H44" s="10" t="n">
        <v>28</v>
      </c>
      <c r="I44" s="9" t="inlineStr">
        <is>
          <t>Order</t>
        </is>
      </c>
      <c r="J44" s="11" t="n">
        <v>12.31</v>
      </c>
      <c r="K44" s="11">
        <f>H44*J44</f>
        <v/>
      </c>
      <c r="L44" s="9" t="inlineStr">
        <is>
          <t>2026-05-07</t>
        </is>
      </c>
      <c r="M44" s="9" t="inlineStr">
        <is>
          <t>Inventory position 24 is at or below the reorder point 24.1. Ordering up to 48.6 needs 24.6 units, rounded up to whole cases of 4 = 28 units.</t>
        </is>
      </c>
    </row>
    <row r="45">
      <c r="A45" s="9" t="inlineStr">
        <is>
          <t>SYN_FOODS_1_001_CA_2</t>
        </is>
      </c>
      <c r="B45" s="9" t="inlineStr">
        <is>
          <t>SYN_FOODS_1_001</t>
        </is>
      </c>
      <c r="C45" s="9" t="inlineStr">
        <is>
          <t>CA_2</t>
        </is>
      </c>
      <c r="D45" s="9" t="inlineStr">
        <is>
          <t>SUP-01</t>
        </is>
      </c>
      <c r="E45" s="9" t="inlineStr">
        <is>
          <t>Medium</t>
        </is>
      </c>
      <c r="F45" s="10" t="n">
        <v>30</v>
      </c>
      <c r="G45" s="10">
        <f>'Reorder Points'!S45</f>
        <v/>
      </c>
      <c r="H45" s="10" t="n">
        <v>216</v>
      </c>
      <c r="I45" s="9" t="inlineStr">
        <is>
          <t>Order</t>
        </is>
      </c>
      <c r="J45" s="11" t="n">
        <v>3.77</v>
      </c>
      <c r="K45" s="11">
        <f>H45*J45</f>
        <v/>
      </c>
      <c r="L45" s="9" t="inlineStr">
        <is>
          <t>2026-05-02</t>
        </is>
      </c>
      <c r="M45" s="9" t="inlineStr">
        <is>
          <t>Inventory position 112 is at or below the reorder point 129.0. Ordering up to 320.4 needs 208.4 units, rounded up to whole cases of 12 = 216 units.</t>
        </is>
      </c>
    </row>
    <row r="46">
      <c r="A46" s="9" t="inlineStr">
        <is>
          <t>SYN_FOODS_1_002_CA_2</t>
        </is>
      </c>
      <c r="B46" s="9" t="inlineStr">
        <is>
          <t>SYN_FOODS_1_002</t>
        </is>
      </c>
      <c r="C46" s="9" t="inlineStr">
        <is>
          <t>CA_2</t>
        </is>
      </c>
      <c r="D46" s="9" t="inlineStr">
        <is>
          <t>SUP-01</t>
        </is>
      </c>
      <c r="E46" s="9" t="inlineStr">
        <is>
          <t>Low</t>
        </is>
      </c>
      <c r="F46" s="10" t="n">
        <v>70</v>
      </c>
      <c r="G46" s="10">
        <f>'Reorder Points'!S46</f>
        <v/>
      </c>
      <c r="H46" s="10" t="n">
        <v>0</v>
      </c>
      <c r="I46" s="9" t="inlineStr">
        <is>
          <t>No order needed</t>
        </is>
      </c>
      <c r="J46" s="11" t="n">
        <v>1.71</v>
      </c>
      <c r="K46" s="11">
        <f>H46*J46</f>
        <v/>
      </c>
      <c r="L46" s="9" t="inlineStr">
        <is>
          <t>nan</t>
        </is>
      </c>
      <c r="M46" s="9" t="inlineStr">
        <is>
          <t>Inventory position 211 is above the reorder point 103.8; no order is needed at this review.</t>
        </is>
      </c>
    </row>
    <row r="47">
      <c r="A47" s="9" t="inlineStr">
        <is>
          <t>SYN_FOODS_1_005_CA_2</t>
        </is>
      </c>
      <c r="B47" s="9" t="inlineStr">
        <is>
          <t>SYN_FOODS_1_005</t>
        </is>
      </c>
      <c r="C47" s="9" t="inlineStr">
        <is>
          <t>CA_2</t>
        </is>
      </c>
      <c r="D47" s="9" t="inlineStr">
        <is>
          <t>SUP-01</t>
        </is>
      </c>
      <c r="E47" s="9" t="inlineStr">
        <is>
          <t>Low</t>
        </is>
      </c>
      <c r="F47" s="10" t="n">
        <v>77</v>
      </c>
      <c r="G47" s="10">
        <f>'Reorder Points'!S47</f>
        <v/>
      </c>
      <c r="H47" s="10" t="n">
        <v>0</v>
      </c>
      <c r="I47" s="9" t="inlineStr">
        <is>
          <t>No order needed</t>
        </is>
      </c>
      <c r="J47" s="11" t="n">
        <v>1.51</v>
      </c>
      <c r="K47" s="11">
        <f>H47*J47</f>
        <v/>
      </c>
      <c r="L47" s="9" t="inlineStr">
        <is>
          <t>nan</t>
        </is>
      </c>
      <c r="M47" s="9" t="inlineStr">
        <is>
          <t>Inventory position 102 is above the reorder point 32.1; no order is needed at this review.</t>
        </is>
      </c>
    </row>
    <row r="48">
      <c r="A48" s="9" t="inlineStr">
        <is>
          <t>SYN_FOODS_1_006_CA_2</t>
        </is>
      </c>
      <c r="B48" s="9" t="inlineStr">
        <is>
          <t>SYN_FOODS_1_006</t>
        </is>
      </c>
      <c r="C48" s="9" t="inlineStr">
        <is>
          <t>CA_2</t>
        </is>
      </c>
      <c r="D48" s="9" t="inlineStr">
        <is>
          <t>SUP-01</t>
        </is>
      </c>
      <c r="E48" s="9" t="inlineStr">
        <is>
          <t>Low</t>
        </is>
      </c>
      <c r="F48" s="10" t="n">
        <v>76</v>
      </c>
      <c r="G48" s="10">
        <f>'Reorder Points'!S48</f>
        <v/>
      </c>
      <c r="H48" s="10" t="n">
        <v>0</v>
      </c>
      <c r="I48" s="9" t="inlineStr">
        <is>
          <t>No order needed</t>
        </is>
      </c>
      <c r="J48" s="11" t="n">
        <v>2.29</v>
      </c>
      <c r="K48" s="11">
        <f>H48*J48</f>
        <v/>
      </c>
      <c r="L48" s="9" t="inlineStr">
        <is>
          <t>nan</t>
        </is>
      </c>
      <c r="M48" s="9" t="inlineStr">
        <is>
          <t>Inventory position 32 is above the reorder point 26.0; no order is needed at this review.</t>
        </is>
      </c>
    </row>
    <row r="49">
      <c r="A49" s="9" t="inlineStr">
        <is>
          <t>SYN_FOODS_1_007_CA_2</t>
        </is>
      </c>
      <c r="B49" s="9" t="inlineStr">
        <is>
          <t>SYN_FOODS_1_007</t>
        </is>
      </c>
      <c r="C49" s="9" t="inlineStr">
        <is>
          <t>CA_2</t>
        </is>
      </c>
      <c r="D49" s="9" t="inlineStr">
        <is>
          <t>SUP-01</t>
        </is>
      </c>
      <c r="E49" s="9" t="inlineStr">
        <is>
          <t>Medium</t>
        </is>
      </c>
      <c r="F49" s="10" t="n">
        <v>33</v>
      </c>
      <c r="G49" s="10">
        <f>'Reorder Points'!S49</f>
        <v/>
      </c>
      <c r="H49" s="10" t="n">
        <v>252</v>
      </c>
      <c r="I49" s="9" t="inlineStr">
        <is>
          <t>Order</t>
        </is>
      </c>
      <c r="J49" s="11" t="n">
        <v>5.47</v>
      </c>
      <c r="K49" s="11">
        <f>H49*J49</f>
        <v/>
      </c>
      <c r="L49" s="9" t="inlineStr">
        <is>
          <t>2026-05-02</t>
        </is>
      </c>
      <c r="M49" s="9" t="inlineStr">
        <is>
          <t>Inventory position 257 is at or below the reorder point 262.1. Ordering up to 503.2 needs 246.2 units, rounded up to whole cases of 12 = 252 units.</t>
        </is>
      </c>
    </row>
    <row r="50">
      <c r="A50" s="9" t="inlineStr">
        <is>
          <t>SYN_FOODS_1_009_CA_2</t>
        </is>
      </c>
      <c r="B50" s="9" t="inlineStr">
        <is>
          <t>SYN_FOODS_1_009</t>
        </is>
      </c>
      <c r="C50" s="9" t="inlineStr">
        <is>
          <t>CA_2</t>
        </is>
      </c>
      <c r="D50" s="9" t="inlineStr">
        <is>
          <t>SUP-01</t>
        </is>
      </c>
      <c r="E50" s="9" t="inlineStr">
        <is>
          <t>Low</t>
        </is>
      </c>
      <c r="F50" s="10" t="n">
        <v>62</v>
      </c>
      <c r="G50" s="10">
        <f>'Reorder Points'!S50</f>
        <v/>
      </c>
      <c r="H50" s="10" t="n">
        <v>0</v>
      </c>
      <c r="I50" s="9" t="inlineStr">
        <is>
          <t>No order needed</t>
        </is>
      </c>
      <c r="J50" s="11" t="n">
        <v>5.45</v>
      </c>
      <c r="K50" s="11">
        <f>H50*J50</f>
        <v/>
      </c>
      <c r="L50" s="9" t="inlineStr">
        <is>
          <t>nan</t>
        </is>
      </c>
      <c r="M50" s="9" t="inlineStr">
        <is>
          <t>Inventory position 361 is above the reorder point 244.3; no order is needed at this review.</t>
        </is>
      </c>
    </row>
    <row r="51">
      <c r="A51" s="9" t="inlineStr">
        <is>
          <t>SYN_FOODS_2_003_CA_2</t>
        </is>
      </c>
      <c r="B51" s="9" t="inlineStr">
        <is>
          <t>SYN_FOODS_2_003</t>
        </is>
      </c>
      <c r="C51" s="9" t="inlineStr">
        <is>
          <t>CA_2</t>
        </is>
      </c>
      <c r="D51" s="9" t="inlineStr">
        <is>
          <t>SUP-02</t>
        </is>
      </c>
      <c r="E51" s="9" t="inlineStr">
        <is>
          <t>Medium</t>
        </is>
      </c>
      <c r="F51" s="10" t="n">
        <v>25</v>
      </c>
      <c r="G51" s="10">
        <f>'Reorder Points'!S51</f>
        <v/>
      </c>
      <c r="H51" s="10" t="n">
        <v>168</v>
      </c>
      <c r="I51" s="9" t="inlineStr">
        <is>
          <t>Order</t>
        </is>
      </c>
      <c r="J51" s="11" t="n">
        <v>1.19</v>
      </c>
      <c r="K51" s="11">
        <f>H51*J51</f>
        <v/>
      </c>
      <c r="L51" s="9" t="inlineStr">
        <is>
          <t>2026-05-03</t>
        </is>
      </c>
      <c r="M51" s="9" t="inlineStr">
        <is>
          <t>Inventory position 60 is at or below the reorder point 86.0. Ordering up to 227.8 needs 167.8 units = 168 units.</t>
        </is>
      </c>
    </row>
    <row r="52">
      <c r="A52" s="9" t="inlineStr">
        <is>
          <t>SYN_FOODS_2_004_CA_2</t>
        </is>
      </c>
      <c r="B52" s="9" t="inlineStr">
        <is>
          <t>SYN_FOODS_2_004</t>
        </is>
      </c>
      <c r="C52" s="9" t="inlineStr">
        <is>
          <t>CA_2</t>
        </is>
      </c>
      <c r="D52" s="9" t="inlineStr">
        <is>
          <t>SUP-02</t>
        </is>
      </c>
      <c r="E52" s="9" t="inlineStr">
        <is>
          <t>High</t>
        </is>
      </c>
      <c r="F52" s="10" t="n">
        <v>4</v>
      </c>
      <c r="G52" s="10">
        <f>'Reorder Points'!S52</f>
        <v/>
      </c>
      <c r="H52" s="10" t="n">
        <v>10</v>
      </c>
      <c r="I52" s="9" t="inlineStr">
        <is>
          <t>Order</t>
        </is>
      </c>
      <c r="J52" s="11" t="n">
        <v>2.01</v>
      </c>
      <c r="K52" s="11">
        <f>H52*J52</f>
        <v/>
      </c>
      <c r="L52" s="9" t="inlineStr">
        <is>
          <t>2026-05-03</t>
        </is>
      </c>
      <c r="M52" s="9" t="inlineStr">
        <is>
          <t>Inventory position 0 is at or below the reorder point 5.0. Ordering up to 9.0 needs 9.0 units, rounded up to whole cases of 2 = 10 units.</t>
        </is>
      </c>
    </row>
    <row r="53">
      <c r="A53" s="9" t="inlineStr">
        <is>
          <t>SYN_FOODS_2_005_CA_2</t>
        </is>
      </c>
      <c r="B53" s="9" t="inlineStr">
        <is>
          <t>SYN_FOODS_2_005</t>
        </is>
      </c>
      <c r="C53" s="9" t="inlineStr">
        <is>
          <t>CA_2</t>
        </is>
      </c>
      <c r="D53" s="9" t="inlineStr">
        <is>
          <t>SUP-02</t>
        </is>
      </c>
      <c r="E53" s="9" t="inlineStr">
        <is>
          <t>Low</t>
        </is>
      </c>
      <c r="F53" s="10" t="n">
        <v>51</v>
      </c>
      <c r="G53" s="10">
        <f>'Reorder Points'!S53</f>
        <v/>
      </c>
      <c r="H53" s="10" t="n">
        <v>0</v>
      </c>
      <c r="I53" s="9" t="inlineStr">
        <is>
          <t>No order needed</t>
        </is>
      </c>
      <c r="J53" s="11" t="n">
        <v>5.21</v>
      </c>
      <c r="K53" s="11">
        <f>H53*J53</f>
        <v/>
      </c>
      <c r="L53" s="9" t="inlineStr">
        <is>
          <t>nan</t>
        </is>
      </c>
      <c r="M53" s="9" t="inlineStr">
        <is>
          <t>Inventory position 40 is above the reorder point 27.9; no order is needed at this review.</t>
        </is>
      </c>
    </row>
    <row r="54">
      <c r="A54" s="9" t="inlineStr">
        <is>
          <t>SYN_FOODS_2_009_CA_2</t>
        </is>
      </c>
      <c r="B54" s="9" t="inlineStr">
        <is>
          <t>SYN_FOODS_2_009</t>
        </is>
      </c>
      <c r="C54" s="9" t="inlineStr">
        <is>
          <t>CA_2</t>
        </is>
      </c>
      <c r="D54" s="9" t="inlineStr">
        <is>
          <t>SUP-02</t>
        </is>
      </c>
      <c r="E54" s="9" t="inlineStr">
        <is>
          <t>Low</t>
        </is>
      </c>
      <c r="F54" s="10" t="n">
        <v>61</v>
      </c>
      <c r="G54" s="10">
        <f>'Reorder Points'!S54</f>
        <v/>
      </c>
      <c r="H54" s="10" t="n">
        <v>0</v>
      </c>
      <c r="I54" s="9" t="inlineStr">
        <is>
          <t>No order needed</t>
        </is>
      </c>
      <c r="J54" s="11" t="n">
        <v>4.18</v>
      </c>
      <c r="K54" s="11">
        <f>H54*J54</f>
        <v/>
      </c>
      <c r="L54" s="9" t="inlineStr">
        <is>
          <t>nan</t>
        </is>
      </c>
      <c r="M54" s="9" t="inlineStr">
        <is>
          <t>Inventory position 672 is above the reorder point 363.8; no order is needed at this review.</t>
        </is>
      </c>
    </row>
    <row r="55">
      <c r="A55" s="9" t="inlineStr">
        <is>
          <t>SYN_FOODS_3_001_CA_2</t>
        </is>
      </c>
      <c r="B55" s="9" t="inlineStr">
        <is>
          <t>SYN_FOODS_3_001</t>
        </is>
      </c>
      <c r="C55" s="9" t="inlineStr">
        <is>
          <t>CA_2</t>
        </is>
      </c>
      <c r="D55" s="9" t="inlineStr">
        <is>
          <t>SUP-03</t>
        </is>
      </c>
      <c r="E55" s="9" t="inlineStr">
        <is>
          <t>Low</t>
        </is>
      </c>
      <c r="F55" s="10" t="n">
        <v>78</v>
      </c>
      <c r="G55" s="10">
        <f>'Reorder Points'!S55</f>
        <v/>
      </c>
      <c r="H55" s="10" t="n">
        <v>0</v>
      </c>
      <c r="I55" s="9" t="inlineStr">
        <is>
          <t>No order needed</t>
        </is>
      </c>
      <c r="J55" s="11" t="n">
        <v>0.99</v>
      </c>
      <c r="K55" s="11">
        <f>H55*J55</f>
        <v/>
      </c>
      <c r="L55" s="9" t="inlineStr">
        <is>
          <t>nan</t>
        </is>
      </c>
      <c r="M55" s="9" t="inlineStr">
        <is>
          <t>Inventory position 31 is above the reorder point 29.0; no order is needed at this review.</t>
        </is>
      </c>
    </row>
    <row r="56">
      <c r="A56" s="9" t="inlineStr">
        <is>
          <t>SYN_FOODS_3_002_CA_2</t>
        </is>
      </c>
      <c r="B56" s="9" t="inlineStr">
        <is>
          <t>SYN_FOODS_3_002</t>
        </is>
      </c>
      <c r="C56" s="9" t="inlineStr">
        <is>
          <t>CA_2</t>
        </is>
      </c>
      <c r="D56" s="9" t="inlineStr">
        <is>
          <t>SUP-03</t>
        </is>
      </c>
      <c r="E56" s="9" t="inlineStr">
        <is>
          <t>Low</t>
        </is>
      </c>
      <c r="F56" s="10" t="n">
        <v>72</v>
      </c>
      <c r="G56" s="10">
        <f>'Reorder Points'!S56</f>
        <v/>
      </c>
      <c r="H56" s="10" t="n">
        <v>0</v>
      </c>
      <c r="I56" s="9" t="inlineStr">
        <is>
          <t>No order needed</t>
        </is>
      </c>
      <c r="J56" s="11" t="n">
        <v>2.42</v>
      </c>
      <c r="K56" s="11">
        <f>H56*J56</f>
        <v/>
      </c>
      <c r="L56" s="9" t="inlineStr">
        <is>
          <t>nan</t>
        </is>
      </c>
      <c r="M56" s="9" t="inlineStr">
        <is>
          <t>Inventory position 90 is above the reorder point 66.8; no order is needed at this review.</t>
        </is>
      </c>
    </row>
    <row r="57">
      <c r="A57" s="9" t="inlineStr">
        <is>
          <t>SYN_FOODS_3_003_CA_2</t>
        </is>
      </c>
      <c r="B57" s="9" t="inlineStr">
        <is>
          <t>SYN_FOODS_3_003</t>
        </is>
      </c>
      <c r="C57" s="9" t="inlineStr">
        <is>
          <t>CA_2</t>
        </is>
      </c>
      <c r="D57" s="9" t="inlineStr">
        <is>
          <t>SUP-03</t>
        </is>
      </c>
      <c r="E57" s="9" t="inlineStr">
        <is>
          <t>Low</t>
        </is>
      </c>
      <c r="F57" s="10" t="n">
        <v>73</v>
      </c>
      <c r="G57" s="10">
        <f>'Reorder Points'!S57</f>
        <v/>
      </c>
      <c r="H57" s="10" t="n">
        <v>0</v>
      </c>
      <c r="I57" s="9" t="inlineStr">
        <is>
          <t>No order needed</t>
        </is>
      </c>
      <c r="J57" s="11" t="n">
        <v>1.27</v>
      </c>
      <c r="K57" s="11">
        <f>H57*J57</f>
        <v/>
      </c>
      <c r="L57" s="9" t="inlineStr">
        <is>
          <t>nan</t>
        </is>
      </c>
      <c r="M57" s="9" t="inlineStr">
        <is>
          <t>Inventory position 206 is above the reorder point 109.2; no order is needed at this review.</t>
        </is>
      </c>
    </row>
    <row r="58">
      <c r="A58" s="9" t="inlineStr">
        <is>
          <t>SYN_FOODS_3_005_CA_2</t>
        </is>
      </c>
      <c r="B58" s="9" t="inlineStr">
        <is>
          <t>SYN_FOODS_3_005</t>
        </is>
      </c>
      <c r="C58" s="9" t="inlineStr">
        <is>
          <t>CA_2</t>
        </is>
      </c>
      <c r="D58" s="9" t="inlineStr">
        <is>
          <t>SUP-03</t>
        </is>
      </c>
      <c r="E58" s="9" t="inlineStr">
        <is>
          <t>Low</t>
        </is>
      </c>
      <c r="F58" s="10" t="n">
        <v>66</v>
      </c>
      <c r="G58" s="10">
        <f>'Reorder Points'!S58</f>
        <v/>
      </c>
      <c r="H58" s="10" t="n">
        <v>0</v>
      </c>
      <c r="I58" s="9" t="inlineStr">
        <is>
          <t>No order needed</t>
        </is>
      </c>
      <c r="J58" s="11" t="n">
        <v>1.76</v>
      </c>
      <c r="K58" s="11">
        <f>H58*J58</f>
        <v/>
      </c>
      <c r="L58" s="9" t="inlineStr">
        <is>
          <t>nan</t>
        </is>
      </c>
      <c r="M58" s="9" t="inlineStr">
        <is>
          <t>Inventory position 475 is above the reorder point 225.0; no order is needed at this review.</t>
        </is>
      </c>
    </row>
    <row r="59">
      <c r="A59" s="9" t="inlineStr">
        <is>
          <t>SYN_FOODS_3_007_CA_2</t>
        </is>
      </c>
      <c r="B59" s="9" t="inlineStr">
        <is>
          <t>SYN_FOODS_3_007</t>
        </is>
      </c>
      <c r="C59" s="9" t="inlineStr">
        <is>
          <t>CA_2</t>
        </is>
      </c>
      <c r="D59" s="9" t="inlineStr">
        <is>
          <t>SUP-03</t>
        </is>
      </c>
      <c r="E59" s="9" t="inlineStr">
        <is>
          <t>Low</t>
        </is>
      </c>
      <c r="F59" s="10" t="n">
        <v>64</v>
      </c>
      <c r="G59" s="10">
        <f>'Reorder Points'!S59</f>
        <v/>
      </c>
      <c r="H59" s="10" t="n">
        <v>0</v>
      </c>
      <c r="I59" s="9" t="inlineStr">
        <is>
          <t>No order needed</t>
        </is>
      </c>
      <c r="J59" s="11" t="n">
        <v>1.99</v>
      </c>
      <c r="K59" s="11">
        <f>H59*J59</f>
        <v/>
      </c>
      <c r="L59" s="9" t="inlineStr">
        <is>
          <t>nan</t>
        </is>
      </c>
      <c r="M59" s="9" t="inlineStr">
        <is>
          <t>Inventory position 397 is above the reorder point 262.0; no order is needed at this review.</t>
        </is>
      </c>
    </row>
    <row r="60">
      <c r="A60" s="9" t="inlineStr">
        <is>
          <t>SYN_FOODS_3_008_CA_2</t>
        </is>
      </c>
      <c r="B60" s="9" t="inlineStr">
        <is>
          <t>SYN_FOODS_3_008</t>
        </is>
      </c>
      <c r="C60" s="9" t="inlineStr">
        <is>
          <t>CA_2</t>
        </is>
      </c>
      <c r="D60" s="9" t="inlineStr">
        <is>
          <t>SUP-03</t>
        </is>
      </c>
      <c r="E60" s="9" t="inlineStr">
        <is>
          <t>Medium</t>
        </is>
      </c>
      <c r="F60" s="10" t="n">
        <v>11</v>
      </c>
      <c r="G60" s="10">
        <f>'Reorder Points'!S60</f>
        <v/>
      </c>
      <c r="H60" s="10" t="n">
        <v>16</v>
      </c>
      <c r="I60" s="9" t="inlineStr">
        <is>
          <t>Order</t>
        </is>
      </c>
      <c r="J60" s="11" t="n">
        <v>2.92</v>
      </c>
      <c r="K60" s="11">
        <f>H60*J60</f>
        <v/>
      </c>
      <c r="L60" s="9" t="inlineStr">
        <is>
          <t>2026-04-30</t>
        </is>
      </c>
      <c r="M60" s="9" t="inlineStr">
        <is>
          <t>Inventory position 2 is at or below the reorder point 9.0. Ordering up to 16.5 needs 14.5 units, rounded up to whole cases of 2 = 16 units.</t>
        </is>
      </c>
    </row>
    <row r="61">
      <c r="A61" s="9" t="inlineStr">
        <is>
          <t>SYN_HOBBIES_1_001_CA_2</t>
        </is>
      </c>
      <c r="B61" s="9" t="inlineStr">
        <is>
          <t>SYN_HOBBIES_1_001</t>
        </is>
      </c>
      <c r="C61" s="9" t="inlineStr">
        <is>
          <t>CA_2</t>
        </is>
      </c>
      <c r="D61" s="9" t="inlineStr">
        <is>
          <t>SUP-04</t>
        </is>
      </c>
      <c r="E61" s="9" t="inlineStr">
        <is>
          <t>High</t>
        </is>
      </c>
      <c r="F61" s="10" t="n">
        <v>2</v>
      </c>
      <c r="G61" s="10">
        <f>'Reorder Points'!S61</f>
        <v/>
      </c>
      <c r="H61" s="10" t="n">
        <v>72</v>
      </c>
      <c r="I61" s="9" t="inlineStr">
        <is>
          <t>Order</t>
        </is>
      </c>
      <c r="J61" s="11" t="n">
        <v>5.49</v>
      </c>
      <c r="K61" s="11">
        <f>H61*J61</f>
        <v/>
      </c>
      <c r="L61" s="9" t="inlineStr">
        <is>
          <t>2026-05-11</t>
        </is>
      </c>
      <c r="M61" s="9" t="inlineStr">
        <is>
          <t>Inventory position 10 is at or below the reorder point 41.0. Ordering up to 76.4 needs 66.4 units, rounded up to whole cases of 6 = 72 units.</t>
        </is>
      </c>
    </row>
    <row r="62">
      <c r="A62" s="9" t="inlineStr">
        <is>
          <t>SYN_HOBBIES_1_002_CA_2</t>
        </is>
      </c>
      <c r="B62" s="9" t="inlineStr">
        <is>
          <t>SYN_HOBBIES_1_002</t>
        </is>
      </c>
      <c r="C62" s="9" t="inlineStr">
        <is>
          <t>CA_2</t>
        </is>
      </c>
      <c r="D62" s="9" t="inlineStr">
        <is>
          <t>SUP-04</t>
        </is>
      </c>
      <c r="E62" s="9" t="inlineStr">
        <is>
          <t>Low</t>
        </is>
      </c>
      <c r="F62" s="10" t="n">
        <v>35</v>
      </c>
      <c r="G62" s="10">
        <f>'Reorder Points'!S62</f>
        <v/>
      </c>
      <c r="H62" s="10" t="n">
        <v>0</v>
      </c>
      <c r="I62" s="9" t="inlineStr">
        <is>
          <t>No order needed</t>
        </is>
      </c>
      <c r="J62" s="11" t="n">
        <v>10.47</v>
      </c>
      <c r="K62" s="11">
        <f>H62*J62</f>
        <v/>
      </c>
      <c r="L62" s="9" t="inlineStr">
        <is>
          <t>nan</t>
        </is>
      </c>
      <c r="M62" s="9" t="inlineStr">
        <is>
          <t>Inventory position 18 is above the reorder point 15.0; no order is needed at this review.</t>
        </is>
      </c>
    </row>
    <row r="63">
      <c r="A63" s="9" t="inlineStr">
        <is>
          <t>SYN_HOBBIES_1_003_CA_2</t>
        </is>
      </c>
      <c r="B63" s="9" t="inlineStr">
        <is>
          <t>SYN_HOBBIES_1_003</t>
        </is>
      </c>
      <c r="C63" s="9" t="inlineStr">
        <is>
          <t>CA_2</t>
        </is>
      </c>
      <c r="D63" s="9" t="inlineStr">
        <is>
          <t>SUP-04</t>
        </is>
      </c>
      <c r="E63" s="9" t="inlineStr">
        <is>
          <t>Low</t>
        </is>
      </c>
      <c r="F63" s="10" t="n">
        <v>80</v>
      </c>
      <c r="G63" s="10">
        <f>'Reorder Points'!S63</f>
        <v/>
      </c>
      <c r="H63" s="10" t="n">
        <v>0</v>
      </c>
      <c r="I63" s="9" t="inlineStr">
        <is>
          <t>No order needed</t>
        </is>
      </c>
      <c r="J63" s="11" t="n">
        <v>10.92</v>
      </c>
      <c r="K63" s="11">
        <f>H63*J63</f>
        <v/>
      </c>
      <c r="L63" s="9" t="inlineStr">
        <is>
          <t>nan</t>
        </is>
      </c>
      <c r="M63" s="9" t="inlineStr">
        <is>
          <t>No demand is forecast for the next 28 days, so no purchase is recommended.</t>
        </is>
      </c>
    </row>
    <row r="64">
      <c r="A64" s="9" t="inlineStr">
        <is>
          <t>SYN_HOBBIES_1_004_CA_2</t>
        </is>
      </c>
      <c r="B64" s="9" t="inlineStr">
        <is>
          <t>SYN_HOBBIES_1_004</t>
        </is>
      </c>
      <c r="C64" s="9" t="inlineStr">
        <is>
          <t>CA_2</t>
        </is>
      </c>
      <c r="D64" s="9" t="inlineStr">
        <is>
          <t>SUP-04</t>
        </is>
      </c>
      <c r="E64" s="9" t="inlineStr">
        <is>
          <t>High</t>
        </is>
      </c>
      <c r="F64" s="10" t="n">
        <v>1</v>
      </c>
      <c r="G64" s="10">
        <f>'Reorder Points'!S64</f>
        <v/>
      </c>
      <c r="H64" s="10" t="n">
        <v>52</v>
      </c>
      <c r="I64" s="9" t="inlineStr">
        <is>
          <t>Order</t>
        </is>
      </c>
      <c r="J64" s="11" t="n">
        <v>6.15</v>
      </c>
      <c r="K64" s="11">
        <f>H64*J64</f>
        <v/>
      </c>
      <c r="L64" s="9" t="inlineStr">
        <is>
          <t>2026-05-11</t>
        </is>
      </c>
      <c r="M64" s="9" t="inlineStr">
        <is>
          <t>Inventory position 6 is at or below the reorder point 30.8. Ordering up to 57.7 needs 51.7 units = 52 units.</t>
        </is>
      </c>
    </row>
    <row r="65">
      <c r="A65" s="9" t="inlineStr">
        <is>
          <t>SYN_HOBBIES_1_005_CA_2</t>
        </is>
      </c>
      <c r="B65" s="9" t="inlineStr">
        <is>
          <t>SYN_HOBBIES_1_005</t>
        </is>
      </c>
      <c r="C65" s="9" t="inlineStr">
        <is>
          <t>CA_2</t>
        </is>
      </c>
      <c r="D65" s="9" t="inlineStr">
        <is>
          <t>SUP-04</t>
        </is>
      </c>
      <c r="E65" s="9" t="inlineStr">
        <is>
          <t>High</t>
        </is>
      </c>
      <c r="F65" s="10" t="n">
        <v>5</v>
      </c>
      <c r="G65" s="10">
        <f>'Reorder Points'!S65</f>
        <v/>
      </c>
      <c r="H65" s="10" t="n">
        <v>48</v>
      </c>
      <c r="I65" s="9" t="inlineStr">
        <is>
          <t>Order</t>
        </is>
      </c>
      <c r="J65" s="11" t="n">
        <v>6.44</v>
      </c>
      <c r="K65" s="11">
        <f>H65*J65</f>
        <v/>
      </c>
      <c r="L65" s="9" t="inlineStr">
        <is>
          <t>2026-05-11</t>
        </is>
      </c>
      <c r="M65" s="9" t="inlineStr">
        <is>
          <t>Inventory position 11 is at or below the reorder point 30.7. Ordering up to 57.7 needs 46.7 units, rounded up to whole cases of 2 = 48 units.</t>
        </is>
      </c>
    </row>
    <row r="66">
      <c r="A66" s="9" t="inlineStr">
        <is>
          <t>SYN_HOBBIES_1_006_CA_2</t>
        </is>
      </c>
      <c r="B66" s="9" t="inlineStr">
        <is>
          <t>SYN_HOBBIES_1_006</t>
        </is>
      </c>
      <c r="C66" s="9" t="inlineStr">
        <is>
          <t>CA_2</t>
        </is>
      </c>
      <c r="D66" s="9" t="inlineStr">
        <is>
          <t>SUP-04</t>
        </is>
      </c>
      <c r="E66" s="9" t="inlineStr">
        <is>
          <t>Low</t>
        </is>
      </c>
      <c r="F66" s="10" t="n">
        <v>34</v>
      </c>
      <c r="G66" s="10">
        <f>'Reorder Points'!S66</f>
        <v/>
      </c>
      <c r="H66" s="10" t="n">
        <v>0</v>
      </c>
      <c r="I66" s="9" t="inlineStr">
        <is>
          <t>No order needed</t>
        </is>
      </c>
      <c r="J66" s="11" t="n">
        <v>8.199999999999999</v>
      </c>
      <c r="K66" s="11">
        <f>H66*J66</f>
        <v/>
      </c>
      <c r="L66" s="9" t="inlineStr">
        <is>
          <t>nan</t>
        </is>
      </c>
      <c r="M66" s="9" t="inlineStr">
        <is>
          <t>Inventory position 29 is above the reorder point 25.8; no order is needed at this review.</t>
        </is>
      </c>
    </row>
    <row r="67">
      <c r="A67" s="9" t="inlineStr">
        <is>
          <t>SYN_HOBBIES_1_008_CA_2</t>
        </is>
      </c>
      <c r="B67" s="9" t="inlineStr">
        <is>
          <t>SYN_HOBBIES_1_008</t>
        </is>
      </c>
      <c r="C67" s="9" t="inlineStr">
        <is>
          <t>CA_2</t>
        </is>
      </c>
      <c r="D67" s="9" t="inlineStr">
        <is>
          <t>SUP-04</t>
        </is>
      </c>
      <c r="E67" s="9" t="inlineStr">
        <is>
          <t>Low</t>
        </is>
      </c>
      <c r="F67" s="10" t="n">
        <v>36</v>
      </c>
      <c r="G67" s="10">
        <f>'Reorder Points'!S67</f>
        <v/>
      </c>
      <c r="H67" s="10" t="n">
        <v>0</v>
      </c>
      <c r="I67" s="9" t="inlineStr">
        <is>
          <t>No order needed</t>
        </is>
      </c>
      <c r="J67" s="11" t="n">
        <v>10.06</v>
      </c>
      <c r="K67" s="11">
        <f>H67*J67</f>
        <v/>
      </c>
      <c r="L67" s="9" t="inlineStr">
        <is>
          <t>nan</t>
        </is>
      </c>
      <c r="M67" s="9" t="inlineStr">
        <is>
          <t>Inventory position 29 is above the reorder point 23.7; no order is needed at this review.</t>
        </is>
      </c>
    </row>
    <row r="68">
      <c r="A68" s="9" t="inlineStr">
        <is>
          <t>SYN_HOBBIES_1_009_CA_2</t>
        </is>
      </c>
      <c r="B68" s="9" t="inlineStr">
        <is>
          <t>SYN_HOBBIES_1_009</t>
        </is>
      </c>
      <c r="C68" s="9" t="inlineStr">
        <is>
          <t>CA_2</t>
        </is>
      </c>
      <c r="D68" s="9" t="inlineStr">
        <is>
          <t>SUP-04</t>
        </is>
      </c>
      <c r="E68" s="9" t="inlineStr">
        <is>
          <t>Medium</t>
        </is>
      </c>
      <c r="F68" s="10" t="n">
        <v>23</v>
      </c>
      <c r="G68" s="10">
        <f>'Reorder Points'!S68</f>
        <v/>
      </c>
      <c r="H68" s="10" t="n">
        <v>96</v>
      </c>
      <c r="I68" s="9" t="inlineStr">
        <is>
          <t>Order</t>
        </is>
      </c>
      <c r="J68" s="11" t="n">
        <v>6.38</v>
      </c>
      <c r="K68" s="11">
        <f>H68*J68</f>
        <v/>
      </c>
      <c r="L68" s="9" t="inlineStr">
        <is>
          <t>2026-05-11</t>
        </is>
      </c>
      <c r="M68" s="9" t="inlineStr">
        <is>
          <t>Inventory position 80 is at or below the reorder point 88.0. Ordering up to 174.0 needs 94.0 units, rounded up to whole cases of 12 = 96 units.</t>
        </is>
      </c>
    </row>
    <row r="69">
      <c r="A69" s="9" t="inlineStr">
        <is>
          <t>SYN_HOBBIES_2_001_CA_2</t>
        </is>
      </c>
      <c r="B69" s="9" t="inlineStr">
        <is>
          <t>SYN_HOBBIES_2_001</t>
        </is>
      </c>
      <c r="C69" s="9" t="inlineStr">
        <is>
          <t>CA_2</t>
        </is>
      </c>
      <c r="D69" s="9" t="inlineStr">
        <is>
          <t>SUP-04</t>
        </is>
      </c>
      <c r="E69" s="9" t="inlineStr">
        <is>
          <t>Medium</t>
        </is>
      </c>
      <c r="F69" s="10" t="n">
        <v>9</v>
      </c>
      <c r="G69" s="10">
        <f>'Reorder Points'!S69</f>
        <v/>
      </c>
      <c r="H69" s="10" t="n">
        <v>174</v>
      </c>
      <c r="I69" s="9" t="inlineStr">
        <is>
          <t>Order</t>
        </is>
      </c>
      <c r="J69" s="11" t="n">
        <v>8.15</v>
      </c>
      <c r="K69" s="11">
        <f>H69*J69</f>
        <v/>
      </c>
      <c r="L69" s="9" t="inlineStr">
        <is>
          <t>2026-05-11</t>
        </is>
      </c>
      <c r="M69" s="9" t="inlineStr">
        <is>
          <t>Inventory position 76 is at or below the reorder point 132.3. Ordering up to 249.6 needs 173.6 units = 174 units.</t>
        </is>
      </c>
    </row>
    <row r="70">
      <c r="A70" s="9" t="inlineStr">
        <is>
          <t>SYN_HOBBIES_2_004_CA_2</t>
        </is>
      </c>
      <c r="B70" s="9" t="inlineStr">
        <is>
          <t>SYN_HOBBIES_2_004</t>
        </is>
      </c>
      <c r="C70" s="9" t="inlineStr">
        <is>
          <t>CA_2</t>
        </is>
      </c>
      <c r="D70" s="9" t="inlineStr">
        <is>
          <t>SUP-04</t>
        </is>
      </c>
      <c r="E70" s="9" t="inlineStr">
        <is>
          <t>Medium</t>
        </is>
      </c>
      <c r="F70" s="10" t="n">
        <v>17</v>
      </c>
      <c r="G70" s="10">
        <f>'Reorder Points'!S70</f>
        <v/>
      </c>
      <c r="H70" s="10" t="n">
        <v>492</v>
      </c>
      <c r="I70" s="9" t="inlineStr">
        <is>
          <t>Order</t>
        </is>
      </c>
      <c r="J70" s="11" t="n">
        <v>2.49</v>
      </c>
      <c r="K70" s="11">
        <f>H70*J70</f>
        <v/>
      </c>
      <c r="L70" s="9" t="inlineStr">
        <is>
          <t>2026-05-11</t>
        </is>
      </c>
      <c r="M70" s="9" t="inlineStr">
        <is>
          <t>Inventory position 350 is at or below the reorder point 432.3. Ordering up to 836.3 needs 486.3 units, rounded up to whole cases of 12 = 492 units.</t>
        </is>
      </c>
    </row>
    <row r="71">
      <c r="A71" s="9" t="inlineStr">
        <is>
          <t>SYN_HOBBIES_2_006_CA_2</t>
        </is>
      </c>
      <c r="B71" s="9" t="inlineStr">
        <is>
          <t>SYN_HOBBIES_2_006</t>
        </is>
      </c>
      <c r="C71" s="9" t="inlineStr">
        <is>
          <t>CA_2</t>
        </is>
      </c>
      <c r="D71" s="9" t="inlineStr">
        <is>
          <t>SUP-04</t>
        </is>
      </c>
      <c r="E71" s="9" t="inlineStr">
        <is>
          <t>Low</t>
        </is>
      </c>
      <c r="F71" s="10" t="n">
        <v>55</v>
      </c>
      <c r="G71" s="10">
        <f>'Reorder Points'!S71</f>
        <v/>
      </c>
      <c r="H71" s="10" t="n">
        <v>0</v>
      </c>
      <c r="I71" s="9" t="inlineStr">
        <is>
          <t>No order needed</t>
        </is>
      </c>
      <c r="J71" s="11" t="n">
        <v>7.81</v>
      </c>
      <c r="K71" s="11">
        <f>H71*J71</f>
        <v/>
      </c>
      <c r="L71" s="9" t="inlineStr">
        <is>
          <t>nan</t>
        </is>
      </c>
      <c r="M71" s="9" t="inlineStr">
        <is>
          <t>Inventory position 424 is above the reorder point 303.7; no order is needed at this review.</t>
        </is>
      </c>
    </row>
    <row r="72">
      <c r="A72" s="9" t="inlineStr">
        <is>
          <t>SYN_HOBBIES_2_009_CA_2</t>
        </is>
      </c>
      <c r="B72" s="9" t="inlineStr">
        <is>
          <t>SYN_HOBBIES_2_009</t>
        </is>
      </c>
      <c r="C72" s="9" t="inlineStr">
        <is>
          <t>CA_2</t>
        </is>
      </c>
      <c r="D72" s="9" t="inlineStr">
        <is>
          <t>SUP-04</t>
        </is>
      </c>
      <c r="E72" s="9" t="inlineStr">
        <is>
          <t>Low</t>
        </is>
      </c>
      <c r="F72" s="10" t="n">
        <v>48</v>
      </c>
      <c r="G72" s="10">
        <f>'Reorder Points'!S72</f>
        <v/>
      </c>
      <c r="H72" s="10" t="n">
        <v>0</v>
      </c>
      <c r="I72" s="9" t="inlineStr">
        <is>
          <t>No order needed</t>
        </is>
      </c>
      <c r="J72" s="11" t="n">
        <v>8.869999999999999</v>
      </c>
      <c r="K72" s="11">
        <f>H72*J72</f>
        <v/>
      </c>
      <c r="L72" s="9" t="inlineStr">
        <is>
          <t>nan</t>
        </is>
      </c>
      <c r="M72" s="9" t="inlineStr">
        <is>
          <t>Inventory position 899 is above the reorder point 722.7; no order is needed at this review.</t>
        </is>
      </c>
    </row>
    <row r="73">
      <c r="A73" s="9" t="inlineStr">
        <is>
          <t>SYN_HOUSEHOLD_1_002_CA_2</t>
        </is>
      </c>
      <c r="B73" s="9" t="inlineStr">
        <is>
          <t>SYN_HOUSEHOLD_1_002</t>
        </is>
      </c>
      <c r="C73" s="9" t="inlineStr">
        <is>
          <t>CA_2</t>
        </is>
      </c>
      <c r="D73" s="9" t="inlineStr">
        <is>
          <t>SUP-05</t>
        </is>
      </c>
      <c r="E73" s="9" t="inlineStr">
        <is>
          <t>Low</t>
        </is>
      </c>
      <c r="F73" s="10" t="n">
        <v>60</v>
      </c>
      <c r="G73" s="10">
        <f>'Reorder Points'!S73</f>
        <v/>
      </c>
      <c r="H73" s="10" t="n">
        <v>0</v>
      </c>
      <c r="I73" s="9" t="inlineStr">
        <is>
          <t>No order needed</t>
        </is>
      </c>
      <c r="J73" s="11" t="n">
        <v>3.16</v>
      </c>
      <c r="K73" s="11">
        <f>H73*J73</f>
        <v/>
      </c>
      <c r="L73" s="9" t="inlineStr">
        <is>
          <t>nan</t>
        </is>
      </c>
      <c r="M73" s="9" t="inlineStr">
        <is>
          <t>Inventory position 472 is above the reorder point 405.5; no order is needed at this review.</t>
        </is>
      </c>
    </row>
    <row r="74">
      <c r="A74" s="9" t="inlineStr">
        <is>
          <t>SYN_HOUSEHOLD_1_004_CA_2</t>
        </is>
      </c>
      <c r="B74" s="9" t="inlineStr">
        <is>
          <t>SYN_HOUSEHOLD_1_004</t>
        </is>
      </c>
      <c r="C74" s="9" t="inlineStr">
        <is>
          <t>CA_2</t>
        </is>
      </c>
      <c r="D74" s="9" t="inlineStr">
        <is>
          <t>SUP-05</t>
        </is>
      </c>
      <c r="E74" s="9" t="inlineStr">
        <is>
          <t>Low</t>
        </is>
      </c>
      <c r="F74" s="10" t="n">
        <v>68</v>
      </c>
      <c r="G74" s="10">
        <f>'Reorder Points'!S74</f>
        <v/>
      </c>
      <c r="H74" s="10" t="n">
        <v>0</v>
      </c>
      <c r="I74" s="9" t="inlineStr">
        <is>
          <t>No order needed</t>
        </is>
      </c>
      <c r="J74" s="11" t="n">
        <v>6.89</v>
      </c>
      <c r="K74" s="11">
        <f>H74*J74</f>
        <v/>
      </c>
      <c r="L74" s="9" t="inlineStr">
        <is>
          <t>nan</t>
        </is>
      </c>
      <c r="M74" s="9" t="inlineStr">
        <is>
          <t>Inventory position 48 is above the reorder point 29.0; no order is needed at this review.</t>
        </is>
      </c>
    </row>
    <row r="75">
      <c r="A75" s="9" t="inlineStr">
        <is>
          <t>SYN_HOUSEHOLD_1_006_CA_2</t>
        </is>
      </c>
      <c r="B75" s="9" t="inlineStr">
        <is>
          <t>SYN_HOUSEHOLD_1_006</t>
        </is>
      </c>
      <c r="C75" s="9" t="inlineStr">
        <is>
          <t>CA_2</t>
        </is>
      </c>
      <c r="D75" s="9" t="inlineStr">
        <is>
          <t>SUP-05</t>
        </is>
      </c>
      <c r="E75" s="9" t="inlineStr">
        <is>
          <t>Low</t>
        </is>
      </c>
      <c r="F75" s="10" t="n">
        <v>52</v>
      </c>
      <c r="G75" s="10">
        <f>'Reorder Points'!S75</f>
        <v/>
      </c>
      <c r="H75" s="10" t="n">
        <v>0</v>
      </c>
      <c r="I75" s="9" t="inlineStr">
        <is>
          <t>No order needed</t>
        </is>
      </c>
      <c r="J75" s="11" t="n">
        <v>4.85</v>
      </c>
      <c r="K75" s="11">
        <f>H75*J75</f>
        <v/>
      </c>
      <c r="L75" s="9" t="inlineStr">
        <is>
          <t>nan</t>
        </is>
      </c>
      <c r="M75" s="9" t="inlineStr">
        <is>
          <t>Inventory position 10 is above the reorder point 7.0; no order is needed at this review.</t>
        </is>
      </c>
    </row>
    <row r="76">
      <c r="A76" s="9" t="inlineStr">
        <is>
          <t>SYN_HOUSEHOLD_1_008_CA_2</t>
        </is>
      </c>
      <c r="B76" s="9" t="inlineStr">
        <is>
          <t>SYN_HOUSEHOLD_1_008</t>
        </is>
      </c>
      <c r="C76" s="9" t="inlineStr">
        <is>
          <t>CA_2</t>
        </is>
      </c>
      <c r="D76" s="9" t="inlineStr">
        <is>
          <t>SUP-05</t>
        </is>
      </c>
      <c r="E76" s="9" t="inlineStr">
        <is>
          <t>Medium</t>
        </is>
      </c>
      <c r="F76" s="10" t="n">
        <v>18</v>
      </c>
      <c r="G76" s="10">
        <f>'Reorder Points'!S76</f>
        <v/>
      </c>
      <c r="H76" s="10" t="n">
        <v>456</v>
      </c>
      <c r="I76" s="9" t="inlineStr">
        <is>
          <t>Order</t>
        </is>
      </c>
      <c r="J76" s="11" t="n">
        <v>2.17</v>
      </c>
      <c r="K76" s="11">
        <f>H76*J76</f>
        <v/>
      </c>
      <c r="L76" s="9" t="inlineStr">
        <is>
          <t>2026-05-04</t>
        </is>
      </c>
      <c r="M76" s="9" t="inlineStr">
        <is>
          <t>Inventory position 176 is at or below the reorder point 259.4. Ordering up to 629.3 needs 453.3 units, rounded up to whole cases of 12 = 456 units.</t>
        </is>
      </c>
    </row>
    <row r="77">
      <c r="A77" s="9" t="inlineStr">
        <is>
          <t>SYN_HOUSEHOLD_1_009_CA_2</t>
        </is>
      </c>
      <c r="B77" s="9" t="inlineStr">
        <is>
          <t>SYN_HOUSEHOLD_1_009</t>
        </is>
      </c>
      <c r="C77" s="9" t="inlineStr">
        <is>
          <t>CA_2</t>
        </is>
      </c>
      <c r="D77" s="9" t="inlineStr">
        <is>
          <t>SUP-05</t>
        </is>
      </c>
      <c r="E77" s="9" t="inlineStr">
        <is>
          <t>Low</t>
        </is>
      </c>
      <c r="F77" s="10" t="n">
        <v>57</v>
      </c>
      <c r="G77" s="10">
        <f>'Reorder Points'!S77</f>
        <v/>
      </c>
      <c r="H77" s="10" t="n">
        <v>0</v>
      </c>
      <c r="I77" s="9" t="inlineStr">
        <is>
          <t>No order needed</t>
        </is>
      </c>
      <c r="J77" s="11" t="n">
        <v>11.99</v>
      </c>
      <c r="K77" s="11">
        <f>H77*J77</f>
        <v/>
      </c>
      <c r="L77" s="9" t="inlineStr">
        <is>
          <t>nan</t>
        </is>
      </c>
      <c r="M77" s="9" t="inlineStr">
        <is>
          <t>Inventory position 244 is above the reorder point 199.5; no order is needed at this review.</t>
        </is>
      </c>
    </row>
    <row r="78">
      <c r="A78" s="9" t="inlineStr">
        <is>
          <t>SYN_HOUSEHOLD_2_001_CA_2</t>
        </is>
      </c>
      <c r="B78" s="9" t="inlineStr">
        <is>
          <t>SYN_HOUSEHOLD_2_001</t>
        </is>
      </c>
      <c r="C78" s="9" t="inlineStr">
        <is>
          <t>CA_2</t>
        </is>
      </c>
      <c r="D78" s="9" t="inlineStr">
        <is>
          <t>SUP-06</t>
        </is>
      </c>
      <c r="E78" s="9" t="inlineStr">
        <is>
          <t>Medium</t>
        </is>
      </c>
      <c r="F78" s="10" t="n">
        <v>21</v>
      </c>
      <c r="G78" s="10">
        <f>'Reorder Points'!S78</f>
        <v/>
      </c>
      <c r="H78" s="10" t="n">
        <v>228</v>
      </c>
      <c r="I78" s="9" t="inlineStr">
        <is>
          <t>Order</t>
        </is>
      </c>
      <c r="J78" s="11" t="n">
        <v>9.81</v>
      </c>
      <c r="K78" s="11">
        <f>H78*J78</f>
        <v/>
      </c>
      <c r="L78" s="9" t="inlineStr">
        <is>
          <t>2026-05-07</t>
        </is>
      </c>
      <c r="M78" s="9" t="inlineStr">
        <is>
          <t>Inventory position 259 is at or below the reorder point 302.4. Ordering up to 478.7 needs 219.7 units, rounded up to whole cases of 12 = 228 units.</t>
        </is>
      </c>
    </row>
    <row r="79">
      <c r="A79" s="9" t="inlineStr">
        <is>
          <t>SYN_HOUSEHOLD_2_002_CA_2</t>
        </is>
      </c>
      <c r="B79" s="9" t="inlineStr">
        <is>
          <t>SYN_HOUSEHOLD_2_002</t>
        </is>
      </c>
      <c r="C79" s="9" t="inlineStr">
        <is>
          <t>CA_2</t>
        </is>
      </c>
      <c r="D79" s="9" t="inlineStr">
        <is>
          <t>SUP-06</t>
        </is>
      </c>
      <c r="E79" s="9" t="inlineStr">
        <is>
          <t>Medium</t>
        </is>
      </c>
      <c r="F79" s="10" t="n">
        <v>19</v>
      </c>
      <c r="G79" s="10">
        <f>'Reorder Points'!S79</f>
        <v/>
      </c>
      <c r="H79" s="10" t="n">
        <v>20</v>
      </c>
      <c r="I79" s="9" t="inlineStr">
        <is>
          <t>Order</t>
        </is>
      </c>
      <c r="J79" s="11" t="n">
        <v>7.1</v>
      </c>
      <c r="K79" s="11">
        <f>H79*J79</f>
        <v/>
      </c>
      <c r="L79" s="9" t="inlineStr">
        <is>
          <t>2026-05-07</t>
        </is>
      </c>
      <c r="M79" s="9" t="inlineStr">
        <is>
          <t>Inventory position 16 is at or below the reorder point 18.4. Ordering up to 34.4 needs 18.4 units, rounded up to whole cases of 2 = 20 units.</t>
        </is>
      </c>
    </row>
    <row r="80">
      <c r="A80" s="9" t="inlineStr">
        <is>
          <t>SYN_HOUSEHOLD_2_003_CA_2</t>
        </is>
      </c>
      <c r="B80" s="9" t="inlineStr">
        <is>
          <t>SYN_HOUSEHOLD_2_003</t>
        </is>
      </c>
      <c r="C80" s="9" t="inlineStr">
        <is>
          <t>CA_2</t>
        </is>
      </c>
      <c r="D80" s="9" t="inlineStr">
        <is>
          <t>SUP-06</t>
        </is>
      </c>
      <c r="E80" s="9" t="inlineStr">
        <is>
          <t>Medium</t>
        </is>
      </c>
      <c r="F80" s="10" t="n">
        <v>16</v>
      </c>
      <c r="G80" s="10">
        <f>'Reorder Points'!S80</f>
        <v/>
      </c>
      <c r="H80" s="10" t="n">
        <v>126</v>
      </c>
      <c r="I80" s="9" t="inlineStr">
        <is>
          <t>Order</t>
        </is>
      </c>
      <c r="J80" s="11" t="n">
        <v>9.94</v>
      </c>
      <c r="K80" s="11">
        <f>H80*J80</f>
        <v/>
      </c>
      <c r="L80" s="9" t="inlineStr">
        <is>
          <t>2026-05-07</t>
        </is>
      </c>
      <c r="M80" s="9" t="inlineStr">
        <is>
          <t>Inventory position 72 is at or below the reorder point 98.8. Ordering up to 193.4 needs 121.4 units, rounded up to whole cases of 6 = 126 units.</t>
        </is>
      </c>
    </row>
    <row r="81">
      <c r="A81" s="9" t="inlineStr">
        <is>
          <t>SYN_HOUSEHOLD_2_004_CA_2</t>
        </is>
      </c>
      <c r="B81" s="9" t="inlineStr">
        <is>
          <t>SYN_HOUSEHOLD_2_004</t>
        </is>
      </c>
      <c r="C81" s="9" t="inlineStr">
        <is>
          <t>CA_2</t>
        </is>
      </c>
      <c r="D81" s="9" t="inlineStr">
        <is>
          <t>SUP-06</t>
        </is>
      </c>
      <c r="E81" s="9" t="inlineStr">
        <is>
          <t>Medium</t>
        </is>
      </c>
      <c r="F81" s="10" t="n">
        <v>28</v>
      </c>
      <c r="G81" s="10">
        <f>'Reorder Points'!S81</f>
        <v/>
      </c>
      <c r="H81" s="10" t="n">
        <v>324</v>
      </c>
      <c r="I81" s="9" t="inlineStr">
        <is>
          <t>Order</t>
        </is>
      </c>
      <c r="J81" s="11" t="n">
        <v>6.05</v>
      </c>
      <c r="K81" s="11">
        <f>H81*J81</f>
        <v/>
      </c>
      <c r="L81" s="9" t="inlineStr">
        <is>
          <t>2026-05-07</t>
        </is>
      </c>
      <c r="M81" s="9" t="inlineStr">
        <is>
          <t>Inventory position 495 is at or below the reorder point 519.8. Ordering up to 814.9 needs 319.9 units, rounded up to whole cases of 12 = 324 units.</t>
        </is>
      </c>
    </row>
    <row r="82">
      <c r="A82" s="9" t="inlineStr">
        <is>
          <t>SYN_HOUSEHOLD_2_005_CA_2</t>
        </is>
      </c>
      <c r="B82" s="9" t="inlineStr">
        <is>
          <t>SYN_HOUSEHOLD_2_005</t>
        </is>
      </c>
      <c r="C82" s="9" t="inlineStr">
        <is>
          <t>CA_2</t>
        </is>
      </c>
      <c r="D82" s="9" t="inlineStr">
        <is>
          <t>SUP-06</t>
        </is>
      </c>
      <c r="E82" s="9" t="inlineStr">
        <is>
          <t>Low</t>
        </is>
      </c>
      <c r="F82" s="10" t="n">
        <v>42</v>
      </c>
      <c r="G82" s="10">
        <f>'Reorder Points'!S82</f>
        <v/>
      </c>
      <c r="H82" s="10" t="n">
        <v>0</v>
      </c>
      <c r="I82" s="9" t="inlineStr">
        <is>
          <t>No order needed</t>
        </is>
      </c>
      <c r="J82" s="11" t="n">
        <v>12.02</v>
      </c>
      <c r="K82" s="11">
        <f>H82*J82</f>
        <v/>
      </c>
      <c r="L82" s="9" t="inlineStr">
        <is>
          <t>nan</t>
        </is>
      </c>
      <c r="M82" s="9" t="inlineStr">
        <is>
          <t>Inventory position 28 is above the reorder point 25.6; no order is needed at this review.</t>
        </is>
      </c>
    </row>
    <row r="83">
      <c r="A83" s="9" t="inlineStr">
        <is>
          <t>SYN_HOUSEHOLD_2_006_CA_2</t>
        </is>
      </c>
      <c r="B83" s="9" t="inlineStr">
        <is>
          <t>SYN_HOUSEHOLD_2_006</t>
        </is>
      </c>
      <c r="C83" s="9" t="inlineStr">
        <is>
          <t>CA_2</t>
        </is>
      </c>
      <c r="D83" s="9" t="inlineStr">
        <is>
          <t>SUP-06</t>
        </is>
      </c>
      <c r="E83" s="9" t="inlineStr">
        <is>
          <t>Low</t>
        </is>
      </c>
      <c r="F83" s="10" t="n">
        <v>53</v>
      </c>
      <c r="G83" s="10">
        <f>'Reorder Points'!S83</f>
        <v/>
      </c>
      <c r="H83" s="10" t="n">
        <v>0</v>
      </c>
      <c r="I83" s="9" t="inlineStr">
        <is>
          <t>No order needed</t>
        </is>
      </c>
      <c r="J83" s="11" t="n">
        <v>8.199999999999999</v>
      </c>
      <c r="K83" s="11">
        <f>H83*J83</f>
        <v/>
      </c>
      <c r="L83" s="9" t="inlineStr">
        <is>
          <t>nan</t>
        </is>
      </c>
      <c r="M83" s="9" t="inlineStr">
        <is>
          <t>Inventory position 262 is above the reorder point 189.3; no order is needed at this review.</t>
        </is>
      </c>
    </row>
    <row r="84">
      <c r="A84" s="9" t="inlineStr">
        <is>
          <t>SYN_HOUSEHOLD_2_008_CA_2</t>
        </is>
      </c>
      <c r="B84" s="9" t="inlineStr">
        <is>
          <t>SYN_HOUSEHOLD_2_008</t>
        </is>
      </c>
      <c r="C84" s="9" t="inlineStr">
        <is>
          <t>CA_2</t>
        </is>
      </c>
      <c r="D84" s="9" t="inlineStr">
        <is>
          <t>SUP-06</t>
        </is>
      </c>
      <c r="E84" s="9" t="inlineStr">
        <is>
          <t>Low</t>
        </is>
      </c>
      <c r="F84" s="10" t="n">
        <v>54</v>
      </c>
      <c r="G84" s="10">
        <f>'Reorder Points'!S84</f>
        <v/>
      </c>
      <c r="H84" s="10" t="n">
        <v>0</v>
      </c>
      <c r="I84" s="9" t="inlineStr">
        <is>
          <t>No order needed</t>
        </is>
      </c>
      <c r="J84" s="11" t="n">
        <v>2.62</v>
      </c>
      <c r="K84" s="11">
        <f>H84*J84</f>
        <v/>
      </c>
      <c r="L84" s="9" t="inlineStr">
        <is>
          <t>nan</t>
        </is>
      </c>
      <c r="M84" s="9" t="inlineStr">
        <is>
          <t>Inventory position 134 is above the reorder point 94.2; no order is needed at this review.</t>
        </is>
      </c>
    </row>
    <row r="86">
      <c r="J86" s="14" t="inlineStr">
        <is>
          <t>Total</t>
        </is>
      </c>
      <c r="K86" s="23">
        <f>SUM(K5:K84)</f>
        <v/>
      </c>
    </row>
    <row r="87">
      <c r="J87" t="inlineStr">
        <is>
          <t>Lines funded</t>
        </is>
      </c>
      <c r="K87">
        <f>COUNTIF(H5:H84,"&gt;0")</f>
        <v/>
      </c>
    </row>
    <row r="88">
      <c r="J88" t="inlineStr">
        <is>
          <t>Budget</t>
        </is>
      </c>
      <c r="K88" t="inlineStr">
        <is>
          <t>Unconstrained</t>
        </is>
      </c>
    </row>
  </sheetData>
  <autoFilter ref="A4:M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17E83"/>
    <outlinePr summaryBelow="1" summaryRight="1"/>
    <pageSetUpPr/>
  </sheetPr>
  <dimension ref="A1:M1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  <col width="14" customWidth="1" min="10" max="10"/>
    <col width="12" customWidth="1" min="11" max="11"/>
    <col width="8" customWidth="1" min="12" max="12"/>
    <col width="16" customWidth="1" min="13" max="13"/>
  </cols>
  <sheetData>
    <row r="1">
      <c r="A1" s="1" t="inlineStr">
        <is>
          <t>Supplier assumptions (SIMULATED)</t>
        </is>
      </c>
    </row>
    <row r="2">
      <c r="A2" s="2" t="inlineStr">
        <is>
          <t>Fictional suppliers assigned by department. Capacity is units per 7-day review.</t>
        </is>
      </c>
    </row>
    <row r="4" ht="32" customHeight="1">
      <c r="A4" s="5" t="inlineStr">
        <is>
          <t>Supplier</t>
        </is>
      </c>
      <c r="B4" s="5" t="inlineStr">
        <is>
          <t>Name</t>
        </is>
      </c>
      <c r="C4" s="5" t="inlineStr">
        <is>
          <t>Departments</t>
        </is>
      </c>
      <c r="D4" s="5" t="inlineStr">
        <is>
          <t>Base lead time (d)</t>
        </is>
      </c>
      <c r="E4" s="5" t="inlineStr">
        <is>
          <t>Base LT sd (d)</t>
        </is>
      </c>
      <c r="F4" s="5" t="inlineStr">
        <is>
          <t>Lead time used (d)</t>
        </is>
      </c>
      <c r="G4" s="5" t="inlineStr">
        <is>
          <t>LT sd used (d)</t>
        </is>
      </c>
      <c r="H4" s="5" t="inlineStr">
        <is>
          <t>MOQ (cases)</t>
        </is>
      </c>
      <c r="I4" s="5" t="inlineStr">
        <is>
          <t>Order cost / line</t>
        </is>
      </c>
      <c r="J4" s="5" t="inlineStr">
        <is>
          <t>Capacity (units/wk)</t>
        </is>
      </c>
      <c r="K4" s="5" t="inlineStr">
        <is>
          <t>On-time rate (assumed)</t>
        </is>
      </c>
      <c r="L4" s="5" t="inlineStr">
        <is>
          <t>Lines</t>
        </is>
      </c>
      <c r="M4" s="5" t="inlineStr">
        <is>
          <t>Recommended spend</t>
        </is>
      </c>
    </row>
    <row r="5">
      <c r="A5" s="9" t="inlineStr">
        <is>
          <t>SUP-01</t>
        </is>
      </c>
      <c r="B5" s="9" t="inlineStr">
        <is>
          <t>Dry Grocery Supplier (simulated)</t>
        </is>
      </c>
      <c r="C5" s="9" t="inlineStr">
        <is>
          <t>FOODS_1</t>
        </is>
      </c>
      <c r="D5" s="12" t="n">
        <v>5</v>
      </c>
      <c r="E5" s="12" t="n">
        <v>1</v>
      </c>
      <c r="F5" s="12">
        <f>MAX(D5+Assumptions!$C$7,1)</f>
        <v/>
      </c>
      <c r="G5" s="17">
        <f>E5*Assumptions!$C$8</f>
        <v/>
      </c>
      <c r="H5" s="10" t="n">
        <v>1</v>
      </c>
      <c r="I5" s="11" t="n">
        <v>6</v>
      </c>
      <c r="J5" s="10" t="n">
        <v>808</v>
      </c>
      <c r="K5" s="13" t="n">
        <v>0.93</v>
      </c>
      <c r="L5" s="10">
        <f>COUNTIF('Purchase Recs'!$D$5:$D$84,A5)</f>
        <v/>
      </c>
      <c r="M5" s="11">
        <f>SUMIF('Purchase Recs'!$D$5:$D$84,A5,'Purchase Recs'!$K$5:$K$84)</f>
        <v/>
      </c>
    </row>
    <row r="6">
      <c r="A6" s="9" t="inlineStr">
        <is>
          <t>SUP-02</t>
        </is>
      </c>
      <c r="B6" s="9" t="inlineStr">
        <is>
          <t>Packaged Foods Supplier (simulated)</t>
        </is>
      </c>
      <c r="C6" s="9" t="inlineStr">
        <is>
          <t>FOODS_2</t>
        </is>
      </c>
      <c r="D6" s="12" t="n">
        <v>6</v>
      </c>
      <c r="E6" s="12" t="n">
        <v>1.5</v>
      </c>
      <c r="F6" s="12">
        <f>MAX(D6+Assumptions!$C$7,1)</f>
        <v/>
      </c>
      <c r="G6" s="17">
        <f>E6*Assumptions!$C$8</f>
        <v/>
      </c>
      <c r="H6" s="10" t="n">
        <v>1</v>
      </c>
      <c r="I6" s="11" t="n">
        <v>6</v>
      </c>
      <c r="J6" s="10" t="n">
        <v>691</v>
      </c>
      <c r="K6" s="13" t="n">
        <v>0.9</v>
      </c>
      <c r="L6" s="10">
        <f>COUNTIF('Purchase Recs'!$D$5:$D$84,A6)</f>
        <v/>
      </c>
      <c r="M6" s="11">
        <f>SUMIF('Purchase Recs'!$D$5:$D$84,A6,'Purchase Recs'!$K$5:$K$84)</f>
        <v/>
      </c>
    </row>
    <row r="7">
      <c r="A7" s="9" t="inlineStr">
        <is>
          <t>SUP-03</t>
        </is>
      </c>
      <c r="B7" s="9" t="inlineStr">
        <is>
          <t>Regional Fresh &amp; Staples DC (simulated)</t>
        </is>
      </c>
      <c r="C7" s="9" t="inlineStr">
        <is>
          <t>FOODS_3</t>
        </is>
      </c>
      <c r="D7" s="12" t="n">
        <v>3</v>
      </c>
      <c r="E7" s="12" t="n">
        <v>0.8</v>
      </c>
      <c r="F7" s="12">
        <f>MAX(D7+Assumptions!$C$7,1)</f>
        <v/>
      </c>
      <c r="G7" s="17">
        <f>E7*Assumptions!$C$8</f>
        <v/>
      </c>
      <c r="H7" s="10" t="n">
        <v>1</v>
      </c>
      <c r="I7" s="11" t="n">
        <v>4</v>
      </c>
      <c r="J7" s="10" t="n">
        <v>1314</v>
      </c>
      <c r="K7" s="13" t="n">
        <v>0.95</v>
      </c>
      <c r="L7" s="10">
        <f>COUNTIF('Purchase Recs'!$D$5:$D$84,A7)</f>
        <v/>
      </c>
      <c r="M7" s="11">
        <f>SUMIF('Purchase Recs'!$D$5:$D$84,A7,'Purchase Recs'!$K$5:$K$84)</f>
        <v/>
      </c>
    </row>
    <row r="8">
      <c r="A8" s="9" t="inlineStr">
        <is>
          <t>SUP-04</t>
        </is>
      </c>
      <c r="B8" s="9" t="inlineStr">
        <is>
          <t>Import Hobby Goods Supplier (simulated)</t>
        </is>
      </c>
      <c r="C8" s="9" t="inlineStr">
        <is>
          <t>HOBBIES_1, HOBBIES_2</t>
        </is>
      </c>
      <c r="D8" s="12" t="n">
        <v>14</v>
      </c>
      <c r="E8" s="12" t="n">
        <v>4</v>
      </c>
      <c r="F8" s="12">
        <f>MAX(D8+Assumptions!$C$7,1)</f>
        <v/>
      </c>
      <c r="G8" s="17">
        <f>E8*Assumptions!$C$8</f>
        <v/>
      </c>
      <c r="H8" s="10" t="n">
        <v>2</v>
      </c>
      <c r="I8" s="11" t="n">
        <v>9</v>
      </c>
      <c r="J8" s="10" t="n">
        <v>2155</v>
      </c>
      <c r="K8" s="13" t="n">
        <v>0.74</v>
      </c>
      <c r="L8" s="10">
        <f>COUNTIF('Purchase Recs'!$D$5:$D$84,A8)</f>
        <v/>
      </c>
      <c r="M8" s="11">
        <f>SUMIF('Purchase Recs'!$D$5:$D$84,A8,'Purchase Recs'!$K$5:$K$84)</f>
        <v/>
      </c>
    </row>
    <row r="9">
      <c r="A9" s="9" t="inlineStr">
        <is>
          <t>SUP-05</t>
        </is>
      </c>
      <c r="B9" s="9" t="inlineStr">
        <is>
          <t>Household Essentials Supplier (simulated)</t>
        </is>
      </c>
      <c r="C9" s="9" t="inlineStr">
        <is>
          <t>HOUSEHOLD_1</t>
        </is>
      </c>
      <c r="D9" s="12" t="n">
        <v>7</v>
      </c>
      <c r="E9" s="12" t="n">
        <v>2</v>
      </c>
      <c r="F9" s="12">
        <f>MAX(D9+Assumptions!$C$7,1)</f>
        <v/>
      </c>
      <c r="G9" s="17">
        <f>E9*Assumptions!$C$8</f>
        <v/>
      </c>
      <c r="H9" s="10" t="n">
        <v>1</v>
      </c>
      <c r="I9" s="11" t="n">
        <v>7</v>
      </c>
      <c r="J9" s="10" t="n">
        <v>834</v>
      </c>
      <c r="K9" s="13" t="n">
        <v>0.88</v>
      </c>
      <c r="L9" s="10">
        <f>COUNTIF('Purchase Recs'!$D$5:$D$84,A9)</f>
        <v/>
      </c>
      <c r="M9" s="11">
        <f>SUMIF('Purchase Recs'!$D$5:$D$84,A9,'Purchase Recs'!$K$5:$K$84)</f>
        <v/>
      </c>
    </row>
    <row r="10">
      <c r="A10" s="9" t="inlineStr">
        <is>
          <t>SUP-06</t>
        </is>
      </c>
      <c r="B10" s="9" t="inlineStr">
        <is>
          <t>Home Goods Supplier (simulated)</t>
        </is>
      </c>
      <c r="C10" s="9" t="inlineStr">
        <is>
          <t>HOUSEHOLD_2</t>
        </is>
      </c>
      <c r="D10" s="12" t="n">
        <v>10</v>
      </c>
      <c r="E10" s="12" t="n">
        <v>3.5</v>
      </c>
      <c r="F10" s="12">
        <f>MAX(D10+Assumptions!$C$7,1)</f>
        <v/>
      </c>
      <c r="G10" s="17">
        <f>E10*Assumptions!$C$8</f>
        <v/>
      </c>
      <c r="H10" s="10" t="n">
        <v>1</v>
      </c>
      <c r="I10" s="11" t="n">
        <v>8</v>
      </c>
      <c r="J10" s="10" t="n">
        <v>1156</v>
      </c>
      <c r="K10" s="13" t="n">
        <v>0.8100000000000001</v>
      </c>
      <c r="L10" s="10">
        <f>COUNTIF('Purchase Recs'!$D$5:$D$84,A10)</f>
        <v/>
      </c>
      <c r="M10" s="11">
        <f>SUMIF('Purchase Recs'!$D$5:$D$84,A10,'Purchase Recs'!$K$5:$K$84)</f>
        <v/>
      </c>
    </row>
  </sheetData>
  <autoFilter ref="A4:M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17E83"/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9" customWidth="1" min="3" max="3"/>
    <col width="9" customWidth="1" min="4" max="4"/>
    <col width="8" customWidth="1" min="5" max="5"/>
    <col width="12" customWidth="1" min="6" max="6"/>
    <col width="10" customWidth="1" min="7" max="7"/>
    <col width="10" customWidth="1" min="8" max="8"/>
    <col width="13" customWidth="1" min="9" max="9"/>
    <col width="10" customWidth="1" min="10" max="10"/>
    <col width="11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Scenario and policy comparisons (Python engine, values)</t>
        </is>
      </c>
    </row>
    <row r="2">
      <c r="A2" s="2" t="inlineStr">
        <is>
          <t>Scenarios recompute today's plan from the same immutable baseline. Simulation results are SIMULATED.</t>
        </is>
      </c>
    </row>
    <row r="4" ht="32" customHeight="1">
      <c r="A4" s="5" t="inlineStr">
        <is>
          <t>Scenario</t>
        </is>
      </c>
      <c r="B4" s="5" t="inlineStr">
        <is>
          <t>Service level</t>
        </is>
      </c>
      <c r="C4" s="5" t="inlineStr">
        <is>
          <t>Review (d)</t>
        </is>
      </c>
      <c r="D4" s="5" t="inlineStr">
        <is>
          <t>LT shift (d)</t>
        </is>
      </c>
      <c r="E4" s="5" t="inlineStr">
        <is>
          <t>LT sd x</t>
        </is>
      </c>
      <c r="F4" s="5" t="inlineStr">
        <is>
          <t>Budget</t>
        </is>
      </c>
      <c r="G4" s="5" t="inlineStr">
        <is>
          <t>Lines ordering</t>
        </is>
      </c>
      <c r="H4" s="5" t="inlineStr">
        <is>
          <t>Lines deferred</t>
        </is>
      </c>
      <c r="I4" s="5" t="inlineStr">
        <is>
          <t>Purchase spend</t>
        </is>
      </c>
      <c r="J4" s="5" t="inlineStr">
        <is>
          <t>High-risk lines</t>
        </is>
      </c>
      <c r="K4" s="5" t="inlineStr">
        <is>
          <t>Exp. short (cycle)</t>
        </is>
      </c>
      <c r="L4" s="5" t="inlineStr">
        <is>
          <t>Annual holding</t>
        </is>
      </c>
      <c r="M4" s="5" t="inlineStr">
        <is>
          <t>Annual ordering</t>
        </is>
      </c>
      <c r="N4" s="5" t="inlineStr">
        <is>
          <t>Annual shortage</t>
        </is>
      </c>
      <c r="O4" s="5" t="inlineStr">
        <is>
          <t>Annual total</t>
        </is>
      </c>
    </row>
    <row r="5">
      <c r="A5" t="inlineStr">
        <is>
          <t>balanced</t>
        </is>
      </c>
      <c r="B5" s="22" t="n">
        <v>0.95</v>
      </c>
      <c r="C5" s="20" t="n">
        <v>7</v>
      </c>
      <c r="D5" s="24" t="n">
        <v>0</v>
      </c>
      <c r="E5" s="24" t="n">
        <v>1</v>
      </c>
      <c r="F5" s="15" t="inlineStr">
        <is>
          <t>Unconstrained</t>
        </is>
      </c>
      <c r="G5" s="20" t="n">
        <v>33</v>
      </c>
      <c r="H5" s="20" t="n">
        <v>0</v>
      </c>
      <c r="I5" s="15" t="n">
        <v>22791.08</v>
      </c>
      <c r="J5" s="20" t="n">
        <v>6</v>
      </c>
      <c r="K5" s="24" t="n">
        <v>2.819151872524674</v>
      </c>
      <c r="L5" s="15" t="n">
        <v>11357.81068870038</v>
      </c>
      <c r="M5" s="15" t="n">
        <v>9183.030312988139</v>
      </c>
      <c r="N5" s="15" t="n">
        <v>5158.052550276164</v>
      </c>
      <c r="O5" s="15" t="n">
        <v>25698.89355196468</v>
      </c>
    </row>
    <row r="6">
      <c r="A6" t="inlineStr">
        <is>
          <t>protect</t>
        </is>
      </c>
      <c r="B6" s="22" t="n">
        <v>0.99</v>
      </c>
      <c r="C6" s="20" t="n">
        <v>7</v>
      </c>
      <c r="D6" s="24" t="n">
        <v>0</v>
      </c>
      <c r="E6" s="24" t="n">
        <v>1</v>
      </c>
      <c r="F6" s="15" t="inlineStr">
        <is>
          <t>Unconstrained</t>
        </is>
      </c>
      <c r="G6" s="20" t="n">
        <v>40</v>
      </c>
      <c r="H6" s="20" t="n">
        <v>4</v>
      </c>
      <c r="I6" s="15" t="n">
        <v>29129.98</v>
      </c>
      <c r="J6" s="20" t="n">
        <v>6</v>
      </c>
      <c r="K6" s="24" t="n">
        <v>3.280657856895464</v>
      </c>
      <c r="L6" s="15" t="n">
        <v>13291.6846941684</v>
      </c>
      <c r="M6" s="15" t="n">
        <v>9183.030312988139</v>
      </c>
      <c r="N6" s="15" t="n">
        <v>834.6352459940729</v>
      </c>
      <c r="O6" s="15" t="n">
        <v>23309.35025315061</v>
      </c>
    </row>
    <row r="7">
      <c r="A7" t="inlineStr">
        <is>
          <t>limit</t>
        </is>
      </c>
      <c r="B7" s="22" t="n">
        <v>0.95</v>
      </c>
      <c r="C7" s="20" t="n">
        <v>7</v>
      </c>
      <c r="D7" s="24" t="n">
        <v>0</v>
      </c>
      <c r="E7" s="24" t="n">
        <v>1</v>
      </c>
      <c r="F7" s="15" t="n">
        <v>13674.65</v>
      </c>
      <c r="G7" s="20" t="n">
        <v>23</v>
      </c>
      <c r="H7" s="20" t="n">
        <v>10</v>
      </c>
      <c r="I7" s="15" t="n">
        <v>13674.36</v>
      </c>
      <c r="J7" s="20" t="n">
        <v>6</v>
      </c>
      <c r="K7" s="24" t="n">
        <v>61.50986583099618</v>
      </c>
      <c r="L7" s="15" t="n">
        <v>11357.81068870038</v>
      </c>
      <c r="M7" s="15" t="n">
        <v>9183.030312988139</v>
      </c>
      <c r="N7" s="15" t="n">
        <v>5158.052550276164</v>
      </c>
      <c r="O7" s="15" t="n">
        <v>25698.89355196468</v>
      </c>
    </row>
    <row r="8">
      <c r="A8" t="inlineStr">
        <is>
          <t>lead_time_plus_5</t>
        </is>
      </c>
      <c r="B8" s="22" t="n">
        <v>0.95</v>
      </c>
      <c r="C8" s="20" t="n">
        <v>7</v>
      </c>
      <c r="D8" s="24" t="n">
        <v>5</v>
      </c>
      <c r="E8" s="24" t="n">
        <v>1</v>
      </c>
      <c r="F8" s="15" t="inlineStr">
        <is>
          <t>Unconstrained</t>
        </is>
      </c>
      <c r="G8" s="20" t="n">
        <v>45</v>
      </c>
      <c r="H8" s="20" t="n">
        <v>6</v>
      </c>
      <c r="I8" s="15" t="n">
        <v>32987.62</v>
      </c>
      <c r="J8" s="20" t="n">
        <v>12</v>
      </c>
      <c r="K8" s="24" t="n">
        <v>41.07613178042403</v>
      </c>
      <c r="L8" s="15" t="n">
        <v>11587.52648599276</v>
      </c>
      <c r="M8" s="15" t="n">
        <v>9183.030312988139</v>
      </c>
      <c r="N8" s="15" t="n">
        <v>5333.602324147963</v>
      </c>
      <c r="O8" s="15" t="n">
        <v>26104.15912312885</v>
      </c>
    </row>
    <row r="9">
      <c r="A9" t="inlineStr">
        <is>
          <t>variability_x2</t>
        </is>
      </c>
      <c r="B9" s="22" t="n">
        <v>0.95</v>
      </c>
      <c r="C9" s="20" t="n">
        <v>7</v>
      </c>
      <c r="D9" s="24" t="n">
        <v>0</v>
      </c>
      <c r="E9" s="24" t="n">
        <v>2</v>
      </c>
      <c r="F9" s="15" t="inlineStr">
        <is>
          <t>Unconstrained</t>
        </is>
      </c>
      <c r="G9" s="20" t="n">
        <v>34</v>
      </c>
      <c r="H9" s="20" t="n">
        <v>7</v>
      </c>
      <c r="I9" s="15" t="n">
        <v>29606.4</v>
      </c>
      <c r="J9" s="20" t="n">
        <v>6</v>
      </c>
      <c r="K9" s="24" t="n">
        <v>33.38725726922696</v>
      </c>
      <c r="L9" s="15" t="n">
        <v>14709.12529190038</v>
      </c>
      <c r="M9" s="15" t="n">
        <v>9183.030312988139</v>
      </c>
      <c r="N9" s="15" t="n">
        <v>9366.996446715031</v>
      </c>
      <c r="O9" s="15" t="n">
        <v>33259.15205160355</v>
      </c>
    </row>
    <row r="10">
      <c r="A10" t="inlineStr">
        <is>
          <t>review_14</t>
        </is>
      </c>
      <c r="B10" s="22" t="n">
        <v>0.95</v>
      </c>
      <c r="C10" s="20" t="n">
        <v>14</v>
      </c>
      <c r="D10" s="24" t="n">
        <v>0</v>
      </c>
      <c r="E10" s="24" t="n">
        <v>1</v>
      </c>
      <c r="F10" s="15" t="inlineStr">
        <is>
          <t>Unconstrained</t>
        </is>
      </c>
      <c r="G10" s="20" t="n">
        <v>57</v>
      </c>
      <c r="H10" s="20" t="n">
        <v>0</v>
      </c>
      <c r="I10" s="15" t="n">
        <v>58305.82</v>
      </c>
      <c r="J10" s="20" t="n">
        <v>6</v>
      </c>
      <c r="K10" s="24" t="n">
        <v>3.538246297218238</v>
      </c>
      <c r="L10" s="15" t="n">
        <v>12132.22961263868</v>
      </c>
      <c r="M10" s="15" t="n">
        <v>8838.770301372548</v>
      </c>
      <c r="N10" s="15" t="n">
        <v>4842.252971176045</v>
      </c>
      <c r="O10" s="15" t="n">
        <v>25813.25288518727</v>
      </c>
    </row>
    <row r="11">
      <c r="A11" t="inlineStr">
        <is>
          <t>zero_budget</t>
        </is>
      </c>
      <c r="B11" s="22" t="n">
        <v>0.95</v>
      </c>
      <c r="C11" s="20" t="n">
        <v>7</v>
      </c>
      <c r="D11" s="24" t="n">
        <v>0</v>
      </c>
      <c r="E11" s="24" t="n">
        <v>1</v>
      </c>
      <c r="F11" s="15" t="n">
        <v>0</v>
      </c>
      <c r="G11" s="20" t="n">
        <v>0</v>
      </c>
      <c r="H11" s="20" t="n">
        <v>33</v>
      </c>
      <c r="I11" s="15" t="n">
        <v>0</v>
      </c>
      <c r="J11" s="20" t="n">
        <v>6</v>
      </c>
      <c r="K11" s="24" t="n">
        <v>263.8317082062049</v>
      </c>
      <c r="L11" s="15" t="n">
        <v>11357.81068870038</v>
      </c>
      <c r="M11" s="15" t="n">
        <v>9183.030312988139</v>
      </c>
      <c r="N11" s="15" t="n">
        <v>5158.052550276164</v>
      </c>
      <c r="O11" s="15" t="n">
        <v>25698.89355196468</v>
      </c>
    </row>
    <row r="12">
      <c r="A12" t="inlineStr">
        <is>
          <t>csl_80</t>
        </is>
      </c>
      <c r="B12" s="22" t="n">
        <v>0.8</v>
      </c>
      <c r="C12" s="20" t="n">
        <v>7</v>
      </c>
      <c r="D12" s="24" t="n">
        <v>0</v>
      </c>
      <c r="E12" s="24" t="n">
        <v>1</v>
      </c>
      <c r="F12" s="15" t="inlineStr">
        <is>
          <t>Unconstrained</t>
        </is>
      </c>
      <c r="G12" s="20" t="n">
        <v>25</v>
      </c>
      <c r="H12" s="20" t="n">
        <v>0</v>
      </c>
      <c r="I12" s="15" t="n">
        <v>14725.16</v>
      </c>
      <c r="J12" s="20" t="n">
        <v>6</v>
      </c>
      <c r="K12" s="24" t="n">
        <v>12.81880530742015</v>
      </c>
      <c r="L12" s="15" t="n">
        <v>9052.368597953728</v>
      </c>
      <c r="M12" s="15" t="n">
        <v>9183.030312988139</v>
      </c>
      <c r="N12" s="15" t="n">
        <v>27766.59553454471</v>
      </c>
      <c r="O12" s="15" t="n">
        <v>46001.99444548657</v>
      </c>
    </row>
    <row r="15">
      <c r="A15" s="3" t="inlineStr">
        <is>
          <t>Historical simulation: basic vs forecast-informed policies (SIMULATED, 182 days each window)</t>
        </is>
      </c>
    </row>
    <row r="16">
      <c r="A16" s="25" t="inlineStr">
        <is>
          <t>Window</t>
        </is>
      </c>
      <c r="B16" s="25" t="inlineStr">
        <is>
          <t>Scope</t>
        </is>
      </c>
      <c r="C16" s="25" t="inlineStr">
        <is>
          <t>Policy</t>
        </is>
      </c>
      <c r="D16" s="25" t="inlineStr">
        <is>
          <t>Lines</t>
        </is>
      </c>
      <c r="E16" s="25" t="inlineStr">
        <is>
          <t>Fill rate</t>
        </is>
      </c>
      <c r="F16" s="25" t="inlineStr">
        <is>
          <t>Cycle service level</t>
        </is>
      </c>
      <c r="G16" s="25" t="inlineStr">
        <is>
          <t>Lost units</t>
        </is>
      </c>
      <c r="H16" s="25" t="inlineStr">
        <is>
          <t>Stockout days</t>
        </is>
      </c>
      <c r="I16" s="25" t="inlineStr">
        <is>
          <t>Avg inventory value</t>
        </is>
      </c>
      <c r="J16" s="25" t="inlineStr">
        <is>
          <t>POs</t>
        </is>
      </c>
      <c r="K16" s="25" t="inlineStr">
        <is>
          <t>Purchasing spend (not a cost)</t>
        </is>
      </c>
      <c r="L16" s="25" t="inlineStr">
        <is>
          <t>Holding cost</t>
        </is>
      </c>
      <c r="M16" s="25" t="inlineStr">
        <is>
          <t>Ordering cost</t>
        </is>
      </c>
      <c r="N16" s="25" t="inlineStr">
        <is>
          <t>Shortage penalty</t>
        </is>
      </c>
      <c r="O16" s="25" t="inlineStr">
        <is>
          <t>Modeled total cost</t>
        </is>
      </c>
    </row>
    <row r="17">
      <c r="A17" t="inlineStr">
        <is>
          <t>main</t>
        </is>
      </c>
      <c r="B17" t="inlineStr">
        <is>
          <t>demo</t>
        </is>
      </c>
      <c r="C17" t="inlineStr">
        <is>
          <t>Basic min/max rule (status quo)</t>
        </is>
      </c>
      <c r="D17" s="20" t="n">
        <v>80</v>
      </c>
      <c r="E17" s="26" t="n">
        <v>0.9938348812660228</v>
      </c>
      <c r="F17" s="22" t="n">
        <v>0.9680460974332112</v>
      </c>
      <c r="G17" s="20" t="n">
        <v>695</v>
      </c>
      <c r="H17" s="20" t="n">
        <v>120</v>
      </c>
      <c r="I17" s="15" t="n">
        <v>65360.76532967033</v>
      </c>
      <c r="J17" s="20" t="n">
        <v>675</v>
      </c>
      <c r="K17" s="15" t="n">
        <v>585152.84</v>
      </c>
      <c r="L17" s="15" t="n">
        <v>8147.71</v>
      </c>
      <c r="M17" s="15" t="n">
        <v>4712</v>
      </c>
      <c r="N17" s="15" t="n">
        <v>3676.89</v>
      </c>
      <c r="O17" s="15" t="n">
        <v>16536.6</v>
      </c>
    </row>
    <row r="18">
      <c r="A18" t="inlineStr">
        <is>
          <t>main</t>
        </is>
      </c>
      <c r="B18" t="inlineStr">
        <is>
          <t>demo</t>
        </is>
      </c>
      <c r="C18" t="inlineStr">
        <is>
          <t>Forecast policy v1 (pre-specified)</t>
        </is>
      </c>
      <c r="D18" s="20" t="n">
        <v>80</v>
      </c>
      <c r="E18" s="26" t="n">
        <v>0.9948372674774464</v>
      </c>
      <c r="F18" s="22" t="n">
        <v>0.9848088004190676</v>
      </c>
      <c r="G18" s="20" t="n">
        <v>582</v>
      </c>
      <c r="H18" s="20" t="n">
        <v>69</v>
      </c>
      <c r="I18" s="15" t="n">
        <v>67112.47675824176</v>
      </c>
      <c r="J18" s="20" t="n">
        <v>445</v>
      </c>
      <c r="K18" s="15" t="n">
        <v>586474.8199999999</v>
      </c>
      <c r="L18" s="15" t="n">
        <v>8366.08</v>
      </c>
      <c r="M18" s="15" t="n">
        <v>3117</v>
      </c>
      <c r="N18" s="15" t="n">
        <v>3127.52</v>
      </c>
      <c r="O18" s="15" t="n">
        <v>14610.59</v>
      </c>
    </row>
    <row r="19">
      <c r="A19" t="inlineStr">
        <is>
          <t>main</t>
        </is>
      </c>
      <c r="B19" t="inlineStr">
        <is>
          <t>demo</t>
        </is>
      </c>
      <c r="C19" t="inlineStr">
        <is>
          <t>Forecast policy v2 (28-day lot cap, revised after v1)</t>
        </is>
      </c>
      <c r="D19" s="20" t="n">
        <v>80</v>
      </c>
      <c r="E19" s="26" t="n">
        <v>0.9963452821318004</v>
      </c>
      <c r="F19" s="22" t="n">
        <v>0.9874279727606076</v>
      </c>
      <c r="G19" s="20" t="n">
        <v>412</v>
      </c>
      <c r="H19" s="20" t="n">
        <v>53</v>
      </c>
      <c r="I19" s="15" t="n">
        <v>64114.88065934065</v>
      </c>
      <c r="J19" s="20" t="n">
        <v>536</v>
      </c>
      <c r="K19" s="15" t="n">
        <v>582768.52</v>
      </c>
      <c r="L19" s="15" t="n">
        <v>7992.4</v>
      </c>
      <c r="M19" s="15" t="n">
        <v>3751</v>
      </c>
      <c r="N19" s="15" t="n">
        <v>2624.45</v>
      </c>
      <c r="O19" s="15" t="n">
        <v>14367.85</v>
      </c>
    </row>
    <row r="20">
      <c r="A20" t="inlineStr">
        <is>
          <t>main</t>
        </is>
      </c>
      <c r="B20" t="inlineStr">
        <is>
          <t>model_stores</t>
        </is>
      </c>
      <c r="C20" t="inlineStr">
        <is>
          <t>Basic min/max rule (status quo)</t>
        </is>
      </c>
      <c r="D20" s="20" t="n">
        <v>126</v>
      </c>
      <c r="E20" s="26" t="n">
        <v>0.9945616515263226</v>
      </c>
      <c r="F20" s="22" t="n">
        <v>0.9655870445344128</v>
      </c>
      <c r="G20" s="20" t="n">
        <v>804</v>
      </c>
      <c r="H20" s="20" t="n">
        <v>181</v>
      </c>
      <c r="I20" s="15" t="n">
        <v>79007.78082417582</v>
      </c>
      <c r="J20" s="20" t="n">
        <v>1020</v>
      </c>
      <c r="K20" s="15" t="n">
        <v>700107.88</v>
      </c>
      <c r="L20" s="15" t="n">
        <v>9848.92</v>
      </c>
      <c r="M20" s="15" t="n">
        <v>7034</v>
      </c>
      <c r="N20" s="15" t="n">
        <v>4181.01</v>
      </c>
      <c r="O20" s="15" t="n">
        <v>21063.93</v>
      </c>
    </row>
    <row r="21">
      <c r="A21" t="inlineStr">
        <is>
          <t>main</t>
        </is>
      </c>
      <c r="B21" t="inlineStr">
        <is>
          <t>model_stores</t>
        </is>
      </c>
      <c r="C21" t="inlineStr">
        <is>
          <t>Forecast policy v1 (pre-specified)</t>
        </is>
      </c>
      <c r="D21" s="20" t="n">
        <v>126</v>
      </c>
      <c r="E21" s="26" t="n">
        <v>0.9932629414430564</v>
      </c>
      <c r="F21" s="22" t="n">
        <v>0.9797570850202429</v>
      </c>
      <c r="G21" s="20" t="n">
        <v>996</v>
      </c>
      <c r="H21" s="20" t="n">
        <v>149</v>
      </c>
      <c r="I21" s="15" t="n">
        <v>86531.88401098902</v>
      </c>
      <c r="J21" s="20" t="n">
        <v>615</v>
      </c>
      <c r="K21" s="15" t="n">
        <v>710440.76</v>
      </c>
      <c r="L21" s="15" t="n">
        <v>10786.85</v>
      </c>
      <c r="M21" s="15" t="n">
        <v>4253</v>
      </c>
      <c r="N21" s="15" t="n">
        <v>4414.32</v>
      </c>
      <c r="O21" s="15" t="n">
        <v>19454.17</v>
      </c>
    </row>
    <row r="22">
      <c r="A22" t="inlineStr">
        <is>
          <t>main</t>
        </is>
      </c>
      <c r="B22" t="inlineStr">
        <is>
          <t>model_stores</t>
        </is>
      </c>
      <c r="C22" t="inlineStr">
        <is>
          <t>Forecast policy v2 (28-day lot cap, revised after v1)</t>
        </is>
      </c>
      <c r="D22" s="20" t="n">
        <v>126</v>
      </c>
      <c r="E22" s="26" t="n">
        <v>0.9952448271430409</v>
      </c>
      <c r="F22" s="22" t="n">
        <v>0.9838056680161944</v>
      </c>
      <c r="G22" s="20" t="n">
        <v>703</v>
      </c>
      <c r="H22" s="20" t="n">
        <v>118</v>
      </c>
      <c r="I22" s="15" t="n">
        <v>80702.44736263735</v>
      </c>
      <c r="J22" s="20" t="n">
        <v>778</v>
      </c>
      <c r="K22" s="15" t="n">
        <v>704458.6800000001</v>
      </c>
      <c r="L22" s="15" t="n">
        <v>10060.17</v>
      </c>
      <c r="M22" s="15" t="n">
        <v>5384</v>
      </c>
      <c r="N22" s="15" t="n">
        <v>3963.45</v>
      </c>
      <c r="O22" s="15" t="n">
        <v>19407.62</v>
      </c>
    </row>
    <row r="23">
      <c r="A23" t="inlineStr">
        <is>
          <t>confirmation</t>
        </is>
      </c>
      <c r="B23" t="inlineStr">
        <is>
          <t>demo</t>
        </is>
      </c>
      <c r="C23" t="inlineStr">
        <is>
          <t>Basic min/max rule (status quo)</t>
        </is>
      </c>
      <c r="D23" s="20" t="n">
        <v>80</v>
      </c>
      <c r="E23" s="26" t="n">
        <v>0.995917367518576</v>
      </c>
      <c r="F23" s="22" t="n">
        <v>0.9640591966173362</v>
      </c>
      <c r="G23" s="20" t="n">
        <v>450</v>
      </c>
      <c r="H23" s="20" t="n">
        <v>131</v>
      </c>
      <c r="I23" s="15" t="n">
        <v>62668.75901098902</v>
      </c>
      <c r="J23" s="20" t="n">
        <v>685</v>
      </c>
      <c r="K23" s="15" t="n">
        <v>573423.72</v>
      </c>
      <c r="L23" s="15" t="n">
        <v>7812.13</v>
      </c>
      <c r="M23" s="15" t="n">
        <v>4811</v>
      </c>
      <c r="N23" s="15" t="n">
        <v>2223.76</v>
      </c>
      <c r="O23" s="15" t="n">
        <v>14846.9</v>
      </c>
    </row>
    <row r="24">
      <c r="A24" t="inlineStr">
        <is>
          <t>confirmation</t>
        </is>
      </c>
      <c r="B24" t="inlineStr">
        <is>
          <t>demo</t>
        </is>
      </c>
      <c r="C24" t="inlineStr">
        <is>
          <t>Forecast policy v1 (pre-specified)</t>
        </is>
      </c>
      <c r="D24" s="20" t="n">
        <v>80</v>
      </c>
      <c r="E24" s="26" t="n">
        <v>0.9975050579280188</v>
      </c>
      <c r="F24" s="22" t="n">
        <v>0.9883720930232558</v>
      </c>
      <c r="G24" s="20" t="n">
        <v>275</v>
      </c>
      <c r="H24" s="20" t="n">
        <v>42</v>
      </c>
      <c r="I24" s="15" t="n">
        <v>63803.39846153846</v>
      </c>
      <c r="J24" s="20" t="n">
        <v>450</v>
      </c>
      <c r="K24" s="15" t="n">
        <v>574061.58</v>
      </c>
      <c r="L24" s="15" t="n">
        <v>7953.57</v>
      </c>
      <c r="M24" s="15" t="n">
        <v>3151</v>
      </c>
      <c r="N24" s="15" t="n">
        <v>1393.52</v>
      </c>
      <c r="O24" s="15" t="n">
        <v>12498.09</v>
      </c>
    </row>
    <row r="25">
      <c r="A25" t="inlineStr">
        <is>
          <t>confirmation</t>
        </is>
      </c>
      <c r="B25" t="inlineStr">
        <is>
          <t>demo</t>
        </is>
      </c>
      <c r="C25" t="inlineStr">
        <is>
          <t>Forecast policy v2 (28-day lot cap, revised after v1)</t>
        </is>
      </c>
      <c r="D25" s="20" t="n">
        <v>80</v>
      </c>
      <c r="E25" s="26" t="n">
        <v>0.9971240122297524</v>
      </c>
      <c r="F25" s="22" t="n">
        <v>0.9867864693446088</v>
      </c>
      <c r="G25" s="20" t="n">
        <v>317</v>
      </c>
      <c r="H25" s="20" t="n">
        <v>49</v>
      </c>
      <c r="I25" s="15" t="n">
        <v>61110.70999999999</v>
      </c>
      <c r="J25" s="20" t="n">
        <v>546</v>
      </c>
      <c r="K25" s="15" t="n">
        <v>571573.22</v>
      </c>
      <c r="L25" s="15" t="n">
        <v>7617.91</v>
      </c>
      <c r="M25" s="15" t="n">
        <v>3825</v>
      </c>
      <c r="N25" s="15" t="n">
        <v>1716.72</v>
      </c>
      <c r="O25" s="15" t="n">
        <v>13159.63</v>
      </c>
    </row>
    <row r="26">
      <c r="A26" t="inlineStr">
        <is>
          <t>confirmation</t>
        </is>
      </c>
      <c r="B26" t="inlineStr">
        <is>
          <t>model_stores</t>
        </is>
      </c>
      <c r="C26" t="inlineStr">
        <is>
          <t>Basic min/max rule (status quo)</t>
        </is>
      </c>
      <c r="D26" s="20" t="n">
        <v>126</v>
      </c>
      <c r="E26" s="26" t="n">
        <v>0.9950423565652676</v>
      </c>
      <c r="F26" s="22" t="n">
        <v>0.9601634320735444</v>
      </c>
      <c r="G26" s="20" t="n">
        <v>721</v>
      </c>
      <c r="H26" s="20" t="n">
        <v>216</v>
      </c>
      <c r="I26" s="15" t="n">
        <v>75611.98637362637</v>
      </c>
      <c r="J26" s="20" t="n">
        <v>1038</v>
      </c>
      <c r="K26" s="15" t="n">
        <v>690392.78</v>
      </c>
      <c r="L26" s="15" t="n">
        <v>9425.6</v>
      </c>
      <c r="M26" s="15" t="n">
        <v>7181</v>
      </c>
      <c r="N26" s="15" t="n">
        <v>3021.77</v>
      </c>
      <c r="O26" s="15" t="n">
        <v>19628.37</v>
      </c>
    </row>
    <row r="27">
      <c r="A27" t="inlineStr">
        <is>
          <t>confirmation</t>
        </is>
      </c>
      <c r="B27" t="inlineStr">
        <is>
          <t>model_stores</t>
        </is>
      </c>
      <c r="C27" t="inlineStr">
        <is>
          <t>Forecast policy v1 (pre-specified)</t>
        </is>
      </c>
      <c r="D27" s="20" t="n">
        <v>126</v>
      </c>
      <c r="E27" s="26" t="n">
        <v>0.994671049012597</v>
      </c>
      <c r="F27" s="22" t="n">
        <v>0.9819543752128022</v>
      </c>
      <c r="G27" s="20" t="n">
        <v>775</v>
      </c>
      <c r="H27" s="20" t="n">
        <v>113</v>
      </c>
      <c r="I27" s="15" t="n">
        <v>82055.56785714287</v>
      </c>
      <c r="J27" s="20" t="n">
        <v>611</v>
      </c>
      <c r="K27" s="15" t="n">
        <v>690982.5</v>
      </c>
      <c r="L27" s="15" t="n">
        <v>10228.84</v>
      </c>
      <c r="M27" s="15" t="n">
        <v>4198</v>
      </c>
      <c r="N27" s="15" t="n">
        <v>2875.55</v>
      </c>
      <c r="O27" s="15" t="n">
        <v>17302.39</v>
      </c>
    </row>
    <row r="28">
      <c r="A28" t="inlineStr">
        <is>
          <t>confirmation</t>
        </is>
      </c>
      <c r="B28" t="inlineStr">
        <is>
          <t>model_stores</t>
        </is>
      </c>
      <c r="C28" t="inlineStr">
        <is>
          <t>Forecast policy v2 (28-day lot cap, revised after v1)</t>
        </is>
      </c>
      <c r="D28" s="20" t="n">
        <v>126</v>
      </c>
      <c r="E28" s="26" t="n">
        <v>0.9973320864734032</v>
      </c>
      <c r="F28" s="22" t="n">
        <v>0.9853592100783112</v>
      </c>
      <c r="G28" s="20" t="n">
        <v>388</v>
      </c>
      <c r="H28" s="20" t="n">
        <v>71</v>
      </c>
      <c r="I28" s="15" t="n">
        <v>77259.97395604396</v>
      </c>
      <c r="J28" s="20" t="n">
        <v>781</v>
      </c>
      <c r="K28" s="15" t="n">
        <v>691279.5600000001</v>
      </c>
      <c r="L28" s="15" t="n">
        <v>9631.040000000001</v>
      </c>
      <c r="M28" s="15" t="n">
        <v>5399</v>
      </c>
      <c r="N28" s="15" t="n">
        <v>1640.73</v>
      </c>
      <c r="O28" s="15" t="n">
        <v>16670.77</v>
      </c>
    </row>
    <row r="47">
      <c r="A47" s="3" t="inlineStr">
        <is>
          <t>Cost sensitivity (decisions held fixed; margin and shortage penalty varied)</t>
        </is>
      </c>
    </row>
    <row r="48">
      <c r="A48" s="25" t="inlineStr">
        <is>
          <t>Margin shift</t>
        </is>
      </c>
      <c r="B48" s="25" t="inlineStr">
        <is>
          <t>Shortage multiplier</t>
        </is>
      </c>
      <c r="C48" s="25" t="inlineStr">
        <is>
          <t>Basic: total cost</t>
        </is>
      </c>
      <c r="D48" s="25" t="inlineStr">
        <is>
          <t>Forecast v1: total cost</t>
        </is>
      </c>
      <c r="E48" s="25" t="inlineStr">
        <is>
          <t>Forecast v2: total cost</t>
        </is>
      </c>
      <c r="F48" s="25" t="inlineStr">
        <is>
          <t>v2 - basic</t>
        </is>
      </c>
    </row>
    <row r="49">
      <c r="A49" s="27" t="n">
        <v>-0.1</v>
      </c>
      <c r="B49" s="28" t="n">
        <v>0.5</v>
      </c>
      <c r="C49" s="15" t="n">
        <v>15082.1</v>
      </c>
      <c r="D49" s="15" t="n">
        <v>13618.07</v>
      </c>
      <c r="E49" s="15" t="n">
        <v>13696.24</v>
      </c>
      <c r="F49" s="15">
        <f>E49-C49</f>
        <v/>
      </c>
    </row>
    <row r="50">
      <c r="A50" s="27" t="n">
        <v>-0.1</v>
      </c>
      <c r="B50" s="28" t="n">
        <v>1</v>
      </c>
      <c r="C50" s="15" t="n">
        <v>15996.7</v>
      </c>
      <c r="D50" s="15" t="n">
        <v>14402.77</v>
      </c>
      <c r="E50" s="15" t="n">
        <v>14359.15</v>
      </c>
      <c r="F50" s="15">
        <f>E50-C50</f>
        <v/>
      </c>
    </row>
    <row r="51">
      <c r="A51" s="27" t="n">
        <v>-0.1</v>
      </c>
      <c r="B51" s="28" t="n">
        <v>1.5</v>
      </c>
      <c r="C51" s="15" t="n">
        <v>16911.29</v>
      </c>
      <c r="D51" s="15" t="n">
        <v>15187.46</v>
      </c>
      <c r="E51" s="15" t="n">
        <v>15022.05</v>
      </c>
      <c r="F51" s="15">
        <f>E51-C51</f>
        <v/>
      </c>
    </row>
    <row r="52">
      <c r="A52" s="27" t="n">
        <v>-0.1</v>
      </c>
      <c r="B52" s="28" t="n">
        <v>2</v>
      </c>
      <c r="C52" s="15" t="n">
        <v>17825.89</v>
      </c>
      <c r="D52" s="15" t="n">
        <v>15972.16</v>
      </c>
      <c r="E52" s="15" t="n">
        <v>15684.96</v>
      </c>
      <c r="F52" s="15">
        <f>E52-C52</f>
        <v/>
      </c>
    </row>
    <row r="53">
      <c r="A53" s="27" t="n">
        <v>-0.1</v>
      </c>
      <c r="B53" s="28" t="n">
        <v>3</v>
      </c>
      <c r="C53" s="15" t="n">
        <v>19655.08</v>
      </c>
      <c r="D53" s="15" t="n">
        <v>17541.55</v>
      </c>
      <c r="E53" s="15" t="n">
        <v>17010.77</v>
      </c>
      <c r="F53" s="15">
        <f>E53-C53</f>
        <v/>
      </c>
    </row>
    <row r="54">
      <c r="A54" s="27" t="n">
        <v>0</v>
      </c>
      <c r="B54" s="28" t="n">
        <v>0.5</v>
      </c>
      <c r="C54" s="15" t="n">
        <v>14085.34</v>
      </c>
      <c r="D54" s="15" t="n">
        <v>12525.58</v>
      </c>
      <c r="E54" s="15" t="n">
        <v>12618.22</v>
      </c>
      <c r="F54" s="15">
        <f>E54-C54</f>
        <v/>
      </c>
    </row>
    <row r="55">
      <c r="A55" s="27" t="n">
        <v>0</v>
      </c>
      <c r="B55" s="28" t="n">
        <v>1</v>
      </c>
      <c r="C55" s="15" t="n">
        <v>15310.97</v>
      </c>
      <c r="D55" s="15" t="n">
        <v>13568.09</v>
      </c>
      <c r="E55" s="15" t="n">
        <v>13493.03</v>
      </c>
      <c r="F55" s="15">
        <f>E55-C55</f>
        <v/>
      </c>
    </row>
    <row r="56">
      <c r="A56" s="27" t="n">
        <v>0</v>
      </c>
      <c r="B56" s="28" t="n">
        <v>1.5</v>
      </c>
      <c r="C56" s="15" t="n">
        <v>16536.6</v>
      </c>
      <c r="D56" s="15" t="n">
        <v>14610.59</v>
      </c>
      <c r="E56" s="15" t="n">
        <v>14367.85</v>
      </c>
      <c r="F56" s="15">
        <f>E56-C56</f>
        <v/>
      </c>
    </row>
    <row r="57">
      <c r="A57" s="27" t="n">
        <v>0</v>
      </c>
      <c r="B57" s="28" t="n">
        <v>2</v>
      </c>
      <c r="C57" s="15" t="n">
        <v>17762.23</v>
      </c>
      <c r="D57" s="15" t="n">
        <v>15653.1</v>
      </c>
      <c r="E57" s="15" t="n">
        <v>15242.66</v>
      </c>
      <c r="F57" s="15">
        <f>E57-C57</f>
        <v/>
      </c>
    </row>
    <row r="58">
      <c r="A58" s="27" t="n">
        <v>0</v>
      </c>
      <c r="B58" s="28" t="n">
        <v>3</v>
      </c>
      <c r="C58" s="15" t="n">
        <v>20213.49</v>
      </c>
      <c r="D58" s="15" t="n">
        <v>17738.11</v>
      </c>
      <c r="E58" s="15" t="n">
        <v>16992.29</v>
      </c>
      <c r="F58" s="15">
        <f>E58-C58</f>
        <v/>
      </c>
    </row>
    <row r="59">
      <c r="A59" s="27" t="n">
        <v>0.1</v>
      </c>
      <c r="B59" s="28" t="n">
        <v>0.5</v>
      </c>
      <c r="C59" s="15" t="n">
        <v>13090.21</v>
      </c>
      <c r="D59" s="15" t="n">
        <v>11434.57</v>
      </c>
      <c r="E59" s="15" t="n">
        <v>11541.28</v>
      </c>
      <c r="F59" s="15">
        <f>E59-C59</f>
        <v/>
      </c>
    </row>
    <row r="60">
      <c r="A60" s="27" t="n">
        <v>0.1</v>
      </c>
      <c r="B60" s="28" t="n">
        <v>1</v>
      </c>
      <c r="C60" s="15" t="n">
        <v>14626.82</v>
      </c>
      <c r="D60" s="15" t="n">
        <v>12735.11</v>
      </c>
      <c r="E60" s="15" t="n">
        <v>12627.82</v>
      </c>
      <c r="F60" s="15">
        <f>E60-C60</f>
        <v/>
      </c>
    </row>
    <row r="61">
      <c r="A61" s="27" t="n">
        <v>0.1</v>
      </c>
      <c r="B61" s="28" t="n">
        <v>1.5</v>
      </c>
      <c r="C61" s="15" t="n">
        <v>16163.42</v>
      </c>
      <c r="D61" s="15" t="n">
        <v>14035.66</v>
      </c>
      <c r="E61" s="15" t="n">
        <v>13714.35</v>
      </c>
      <c r="F61" s="15">
        <f>E61-C61</f>
        <v/>
      </c>
    </row>
    <row r="62">
      <c r="A62" s="27" t="n">
        <v>0.1</v>
      </c>
      <c r="B62" s="28" t="n">
        <v>2</v>
      </c>
      <c r="C62" s="15" t="n">
        <v>17700.03</v>
      </c>
      <c r="D62" s="15" t="n">
        <v>15336.2</v>
      </c>
      <c r="E62" s="15" t="n">
        <v>14800.89</v>
      </c>
      <c r="F62" s="15">
        <f>E62-C62</f>
        <v/>
      </c>
    </row>
    <row r="63">
      <c r="A63" s="27" t="n">
        <v>0.1</v>
      </c>
      <c r="B63" s="28" t="n">
        <v>3</v>
      </c>
      <c r="C63" s="15" t="n">
        <v>20773.24</v>
      </c>
      <c r="D63" s="15" t="n">
        <v>17937.29</v>
      </c>
      <c r="E63" s="15" t="n">
        <v>16973.96</v>
      </c>
      <c r="F63" s="15">
        <f>E63-C63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tabColor rgb="00217E83"/>
    <outlinePr summaryBelow="1" summaryRight="1"/>
    <pageSetUpPr/>
  </sheetPr>
  <dimension ref="A1:C2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10" customWidth="1" min="2" max="2"/>
    <col width="18" customWidth="1" min="3" max="3"/>
  </cols>
  <sheetData>
    <row r="1">
      <c r="A1" s="1" t="inlineStr">
        <is>
          <t>Data definitions and lineage</t>
        </is>
      </c>
    </row>
    <row r="2">
      <c r="A2" s="2" t="inlineStr">
        <is>
          <t>OBSERVED = M5 records; DERIVED = computed from observed; MODELED = forecasts and plans; SIMULATED = assumptions.</t>
        </is>
      </c>
    </row>
    <row r="4" ht="32" customHeight="1">
      <c r="A4" s="5" t="inlineStr">
        <is>
          <t>Field</t>
        </is>
      </c>
      <c r="B4" s="5" t="inlineStr">
        <is>
          <t>Definition</t>
        </is>
      </c>
      <c r="C4" s="5" t="inlineStr">
        <is>
          <t>Lineage</t>
        </is>
      </c>
    </row>
    <row r="5">
      <c r="A5" s="9" t="inlineStr">
        <is>
          <t>Series</t>
        </is>
      </c>
      <c r="B5" s="9" t="inlineStr">
        <is>
          <t>Product-store combination (M5 item_id + store_id).</t>
        </is>
      </c>
      <c r="C5" s="9" t="inlineStr">
        <is>
          <t>OBSERVED</t>
        </is>
      </c>
    </row>
    <row r="6">
      <c r="A6" s="9" t="inlineStr">
        <is>
          <t>mu</t>
        </is>
      </c>
      <c r="B6" s="9" t="inlineStr">
        <is>
          <t>Expected daily demand: mean of the selected model's 28-day forecast after the last observed day.</t>
        </is>
      </c>
      <c r="C6" s="9" t="inlineStr">
        <is>
          <t>MODELED</t>
        </is>
      </c>
    </row>
    <row r="7">
      <c r="A7" s="9" t="inlineStr">
        <is>
          <t>sigma</t>
        </is>
      </c>
      <c r="B7" s="9" t="inlineStr">
        <is>
          <t>Std. deviation (RMSE) of daily forecast errors across five 28-day validation folds.</t>
        </is>
      </c>
      <c r="C7" s="9" t="inlineStr">
        <is>
          <t>MODELED</t>
        </is>
      </c>
    </row>
    <row r="8">
      <c r="A8" s="9" t="inlineStr">
        <is>
          <t>Demand pattern</t>
        </is>
      </c>
      <c r="B8" s="9" t="inlineStr">
        <is>
          <t>Syntetos-Boylan class from average inter-demand interval (1.32) and squared CV of demand sizes (0.49).</t>
        </is>
      </c>
      <c r="C8" s="9" t="inlineStr">
        <is>
          <t>DERIVED</t>
        </is>
      </c>
    </row>
    <row r="9">
      <c r="A9" s="9" t="inlineStr">
        <is>
          <t>ABC / XYZ</t>
        </is>
      </c>
      <c r="B9" s="9" t="inlineStr">
        <is>
          <t>ABC on cumulative 364-day sales value; XYZ on coefficient of variation of weekly demand.</t>
        </is>
      </c>
      <c r="C9" s="9" t="inlineStr">
        <is>
          <t>DERIVED</t>
        </is>
      </c>
    </row>
    <row r="10">
      <c r="A10" s="9" t="inlineStr">
        <is>
          <t>Lead time, LT sd</t>
        </is>
      </c>
      <c r="B10" s="9" t="inlineStr">
        <is>
          <t>Supplier mean lead time and its standard deviation in days.</t>
        </is>
      </c>
      <c r="C10" s="9" t="inlineStr">
        <is>
          <t>SIMULATED</t>
        </is>
      </c>
    </row>
    <row r="11">
      <c r="A11" s="9" t="inlineStr">
        <is>
          <t>Case pack, MOQ</t>
        </is>
      </c>
      <c r="B11" s="9" t="inlineStr">
        <is>
          <t>Units per case set from item velocity; MOQ = supplier minimum cases x case pack.</t>
        </is>
      </c>
      <c r="C11" s="9" t="inlineStr">
        <is>
          <t>SIMULATED</t>
        </is>
      </c>
    </row>
    <row r="12">
      <c r="A12" s="9" t="inlineStr">
        <is>
          <t>Unit price</t>
        </is>
      </c>
      <c r="B12" s="9" t="inlineStr">
        <is>
          <t>Median weekly shelf price over the 364 days before the simulation start.</t>
        </is>
      </c>
      <c r="C12" s="9" t="inlineStr">
        <is>
          <t>OBSERVED/DERIVED</t>
        </is>
      </c>
    </row>
    <row r="13">
      <c r="A13" s="9" t="inlineStr">
        <is>
          <t>Unit cost</t>
        </is>
      </c>
      <c r="B13" s="9" t="inlineStr">
        <is>
          <t>Unit price x (1 - assumed category gross margin).</t>
        </is>
      </c>
      <c r="C13" s="9" t="inlineStr">
        <is>
          <t>SIMULATED</t>
        </is>
      </c>
    </row>
    <row r="14">
      <c r="A14" s="9" t="inlineStr">
        <is>
          <t>On hand / on order</t>
        </is>
      </c>
      <c r="B14" s="9" t="inlineStr">
        <is>
          <t>Ending state of the 182-day simulation of the basic policy at the planning date.</t>
        </is>
      </c>
      <c r="C14" s="9" t="inlineStr">
        <is>
          <t>SIMULATED</t>
        </is>
      </c>
    </row>
    <row r="15">
      <c r="A15" s="9" t="inlineStr">
        <is>
          <t>Safety stock</t>
        </is>
      </c>
      <c r="B15" s="9" t="inlineStr">
        <is>
          <t>z x sigma_P (normal) or the empirical-quantile fallback for intermittent items.</t>
        </is>
      </c>
      <c r="C15" s="9" t="inlineStr">
        <is>
          <t>MODELED</t>
        </is>
      </c>
    </row>
    <row r="16">
      <c r="A16" s="9" t="inlineStr">
        <is>
          <t>Reorder point s</t>
        </is>
      </c>
      <c r="B16" s="9" t="inlineStr">
        <is>
          <t>Demand over the protection period plus safety stock.</t>
        </is>
      </c>
      <c r="C16" s="9" t="inlineStr">
        <is>
          <t>MODELED</t>
        </is>
      </c>
    </row>
    <row r="17">
      <c r="A17" s="9" t="inlineStr">
        <is>
          <t>Order-up-to S</t>
        </is>
      </c>
      <c r="B17" s="9" t="inlineStr">
        <is>
          <t>s + max(EOQ, one review period of demand).</t>
        </is>
      </c>
      <c r="C17" s="9" t="inlineStr">
        <is>
          <t>MODELED</t>
        </is>
      </c>
    </row>
    <row r="18">
      <c r="A18" s="9" t="inlineStr">
        <is>
          <t>Recommended qty</t>
        </is>
      </c>
      <c r="B18" s="9" t="inlineStr">
        <is>
          <t>Unconstrained order: whole cases, at least the MOQ.</t>
        </is>
      </c>
      <c r="C18" s="9" t="inlineStr">
        <is>
          <t>MODELED</t>
        </is>
      </c>
    </row>
    <row r="19">
      <c r="A19" s="9" t="inlineStr">
        <is>
          <t>Funded qty</t>
        </is>
      </c>
      <c r="B19" s="9" t="inlineStr">
        <is>
          <t>After supplier capacity and budget, allocated in priority order (greedy heuristic, not an optimum).</t>
        </is>
      </c>
      <c r="C19" s="9" t="inlineStr">
        <is>
          <t>MODELED</t>
        </is>
      </c>
    </row>
    <row r="20">
      <c r="A20" s="9" t="inlineStr">
        <is>
          <t>Risk</t>
        </is>
      </c>
      <c r="B20" s="9" t="inlineStr">
        <is>
          <t>High: expected to run out before a new order could arrive (P &gt;= 50% or no stock). Medium: at/below reorder point. Low: otherwise.</t>
        </is>
      </c>
      <c r="C20" s="9" t="inlineStr">
        <is>
          <t>MODELED</t>
        </is>
      </c>
    </row>
    <row r="21">
      <c r="A21" s="9" t="inlineStr">
        <is>
          <t>Fill rate</t>
        </is>
      </c>
      <c r="B21" s="9" t="inlineStr">
        <is>
          <t>Simulated share of demand units fulfilled from stock.</t>
        </is>
      </c>
      <c r="C21" s="9" t="inlineStr">
        <is>
          <t>SIMULATED</t>
        </is>
      </c>
    </row>
    <row r="22">
      <c r="A22" s="9" t="inlineStr">
        <is>
          <t>Cycle service level</t>
        </is>
      </c>
      <c r="B22" s="9" t="inlineStr">
        <is>
          <t>Simulated share of replenishment cycles with no lost sales (differs from fill rate).</t>
        </is>
      </c>
      <c r="C22" s="9" t="inlineStr">
        <is>
          <t>SIMULATED</t>
        </is>
      </c>
    </row>
    <row r="23">
      <c r="A23" s="9" t="inlineStr">
        <is>
          <t>Modeled total cost</t>
        </is>
      </c>
      <c r="B23" s="9" t="inlineStr">
        <is>
          <t>Holding + ordering + shortage penalty. Purchasing spend is reported separately and is not counted as a cost.</t>
        </is>
      </c>
      <c r="C23" s="9" t="inlineStr">
        <is>
          <t>SIMULATED</t>
        </is>
      </c>
    </row>
  </sheetData>
  <autoFilter ref="A4:C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2026-10-16T00:17:22Z</dcterms:created>
  <dcterms:modified xsi:type="dcterms:W3CDTF">2026-10-16T00:17:22Z</dcterms:modified>
</cp:coreProperties>
</file>